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105" windowWidth="21555" windowHeight="10095"/>
  </bookViews>
  <sheets>
    <sheet name="uold" sheetId="1" r:id="rId1"/>
  </sheets>
  <calcPr calcId="0"/>
</workbook>
</file>

<file path=xl/calcChain.xml><?xml version="1.0" encoding="utf-8"?>
<calcChain xmlns="http://schemas.openxmlformats.org/spreadsheetml/2006/main">
  <c r="H5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I351" i="1" s="1"/>
  <c r="H352" i="1"/>
  <c r="H353" i="1"/>
  <c r="H354" i="1"/>
  <c r="H355" i="1"/>
  <c r="H356" i="1"/>
  <c r="H357" i="1"/>
  <c r="H358" i="1"/>
  <c r="H359" i="1"/>
  <c r="I359" i="1" s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I379" i="1" s="1"/>
  <c r="H380" i="1"/>
  <c r="H381" i="1"/>
  <c r="H382" i="1"/>
  <c r="H383" i="1"/>
  <c r="I383" i="1" s="1"/>
  <c r="H384" i="1"/>
  <c r="H385" i="1"/>
  <c r="H386" i="1"/>
  <c r="H387" i="1"/>
  <c r="H388" i="1"/>
  <c r="H389" i="1"/>
  <c r="H390" i="1"/>
  <c r="H391" i="1"/>
  <c r="I391" i="1" s="1"/>
  <c r="H392" i="1"/>
  <c r="H393" i="1"/>
  <c r="H394" i="1"/>
  <c r="H395" i="1"/>
  <c r="H396" i="1"/>
  <c r="H397" i="1"/>
  <c r="H398" i="1"/>
  <c r="H399" i="1"/>
  <c r="H400" i="1"/>
  <c r="H4" i="1"/>
  <c r="I121" i="1"/>
  <c r="I6" i="1"/>
  <c r="I7" i="1"/>
  <c r="I10" i="1"/>
  <c r="I11" i="1"/>
  <c r="I14" i="1"/>
  <c r="I15" i="1"/>
  <c r="I18" i="1"/>
  <c r="I19" i="1"/>
  <c r="I22" i="1"/>
  <c r="I23" i="1"/>
  <c r="I26" i="1"/>
  <c r="I27" i="1"/>
  <c r="I30" i="1"/>
  <c r="I31" i="1"/>
  <c r="I34" i="1"/>
  <c r="I35" i="1"/>
  <c r="I38" i="1"/>
  <c r="I39" i="1"/>
  <c r="I42" i="1"/>
  <c r="I43" i="1"/>
  <c r="I46" i="1"/>
  <c r="I47" i="1"/>
  <c r="I50" i="1"/>
  <c r="I51" i="1"/>
  <c r="I54" i="1"/>
  <c r="I55" i="1"/>
  <c r="I58" i="1"/>
  <c r="I59" i="1"/>
  <c r="I62" i="1"/>
  <c r="I63" i="1"/>
  <c r="I66" i="1"/>
  <c r="I67" i="1"/>
  <c r="I70" i="1"/>
  <c r="I71" i="1"/>
  <c r="I74" i="1"/>
  <c r="I75" i="1"/>
  <c r="I78" i="1"/>
  <c r="I79" i="1"/>
  <c r="I82" i="1"/>
  <c r="I83" i="1"/>
  <c r="I86" i="1"/>
  <c r="I87" i="1"/>
  <c r="I90" i="1"/>
  <c r="I91" i="1"/>
  <c r="I94" i="1"/>
  <c r="I95" i="1"/>
  <c r="I98" i="1"/>
  <c r="I99" i="1"/>
  <c r="I102" i="1"/>
  <c r="I103" i="1"/>
  <c r="I106" i="1"/>
  <c r="I107" i="1"/>
  <c r="I110" i="1"/>
  <c r="I111" i="1"/>
  <c r="I114" i="1"/>
  <c r="I115" i="1"/>
  <c r="I118" i="1"/>
  <c r="I119" i="1"/>
  <c r="I123" i="1"/>
  <c r="I127" i="1"/>
  <c r="I131" i="1"/>
  <c r="I135" i="1"/>
  <c r="I139" i="1"/>
  <c r="I143" i="1"/>
  <c r="I147" i="1"/>
  <c r="I151" i="1"/>
  <c r="I155" i="1"/>
  <c r="I159" i="1"/>
  <c r="I163" i="1"/>
  <c r="I167" i="1"/>
  <c r="I171" i="1"/>
  <c r="I175" i="1"/>
  <c r="I179" i="1"/>
  <c r="I183" i="1"/>
  <c r="I187" i="1"/>
  <c r="I191" i="1"/>
  <c r="I195" i="1"/>
  <c r="I199" i="1"/>
  <c r="I203" i="1"/>
  <c r="I207" i="1"/>
  <c r="I211" i="1"/>
  <c r="I215" i="1"/>
  <c r="I219" i="1"/>
  <c r="I223" i="1"/>
  <c r="I227" i="1"/>
  <c r="I231" i="1"/>
  <c r="I235" i="1"/>
  <c r="I239" i="1"/>
  <c r="I243" i="1"/>
  <c r="I247" i="1"/>
  <c r="I251" i="1"/>
  <c r="I255" i="1"/>
  <c r="I259" i="1"/>
  <c r="I263" i="1"/>
  <c r="I267" i="1"/>
  <c r="I271" i="1"/>
  <c r="I275" i="1"/>
  <c r="I279" i="1"/>
  <c r="I283" i="1"/>
  <c r="I287" i="1"/>
  <c r="I291" i="1"/>
  <c r="I295" i="1"/>
  <c r="I299" i="1"/>
  <c r="I303" i="1"/>
  <c r="I307" i="1"/>
  <c r="I311" i="1"/>
  <c r="I315" i="1"/>
  <c r="I319" i="1"/>
  <c r="I323" i="1"/>
  <c r="I327" i="1"/>
  <c r="I331" i="1"/>
  <c r="I335" i="1"/>
  <c r="I339" i="1"/>
  <c r="I343" i="1"/>
  <c r="I347" i="1"/>
  <c r="I355" i="1"/>
  <c r="I363" i="1"/>
  <c r="I367" i="1"/>
  <c r="I371" i="1"/>
  <c r="I375" i="1"/>
  <c r="I387" i="1"/>
  <c r="I395" i="1"/>
  <c r="I399" i="1"/>
  <c r="I122" i="1"/>
  <c r="I5" i="1"/>
  <c r="I8" i="1"/>
  <c r="I9" i="1"/>
  <c r="I12" i="1"/>
  <c r="I13" i="1"/>
  <c r="I16" i="1"/>
  <c r="I17" i="1"/>
  <c r="I20" i="1"/>
  <c r="I21" i="1"/>
  <c r="I24" i="1"/>
  <c r="I25" i="1"/>
  <c r="I28" i="1"/>
  <c r="I29" i="1"/>
  <c r="I32" i="1"/>
  <c r="I33" i="1"/>
  <c r="I36" i="1"/>
  <c r="I37" i="1"/>
  <c r="I40" i="1"/>
  <c r="I41" i="1"/>
  <c r="I44" i="1"/>
  <c r="I45" i="1"/>
  <c r="I48" i="1"/>
  <c r="I49" i="1"/>
  <c r="I52" i="1"/>
  <c r="I53" i="1"/>
  <c r="I56" i="1"/>
  <c r="I57" i="1"/>
  <c r="I60" i="1"/>
  <c r="I61" i="1"/>
  <c r="I64" i="1"/>
  <c r="I65" i="1"/>
  <c r="I68" i="1"/>
  <c r="I69" i="1"/>
  <c r="I72" i="1"/>
  <c r="I73" i="1"/>
  <c r="I76" i="1"/>
  <c r="I77" i="1"/>
  <c r="I80" i="1"/>
  <c r="I81" i="1"/>
  <c r="I84" i="1"/>
  <c r="I85" i="1"/>
  <c r="I88" i="1"/>
  <c r="I89" i="1"/>
  <c r="I92" i="1"/>
  <c r="I93" i="1"/>
  <c r="I96" i="1"/>
  <c r="I97" i="1"/>
  <c r="I100" i="1"/>
  <c r="I101" i="1"/>
  <c r="I104" i="1"/>
  <c r="I105" i="1"/>
  <c r="I108" i="1"/>
  <c r="I109" i="1"/>
  <c r="I112" i="1"/>
  <c r="I113" i="1"/>
  <c r="I116" i="1"/>
  <c r="I117" i="1"/>
  <c r="I120" i="1"/>
  <c r="I124" i="1"/>
  <c r="I125" i="1"/>
  <c r="I126" i="1"/>
  <c r="I128" i="1"/>
  <c r="I129" i="1"/>
  <c r="I130" i="1"/>
  <c r="I132" i="1"/>
  <c r="I133" i="1"/>
  <c r="I134" i="1"/>
  <c r="I136" i="1"/>
  <c r="I137" i="1"/>
  <c r="I138" i="1"/>
  <c r="I140" i="1"/>
  <c r="I141" i="1"/>
  <c r="I142" i="1"/>
  <c r="I144" i="1"/>
  <c r="I145" i="1"/>
  <c r="I146" i="1"/>
  <c r="I148" i="1"/>
  <c r="I149" i="1"/>
  <c r="I150" i="1"/>
  <c r="I152" i="1"/>
  <c r="I153" i="1"/>
  <c r="I154" i="1"/>
  <c r="I156" i="1"/>
  <c r="I157" i="1"/>
  <c r="I158" i="1"/>
  <c r="I160" i="1"/>
  <c r="I161" i="1"/>
  <c r="I162" i="1"/>
  <c r="I164" i="1"/>
  <c r="I165" i="1"/>
  <c r="I166" i="1"/>
  <c r="I168" i="1"/>
  <c r="I169" i="1"/>
  <c r="I170" i="1"/>
  <c r="I172" i="1"/>
  <c r="I173" i="1"/>
  <c r="I174" i="1"/>
  <c r="I176" i="1"/>
  <c r="I177" i="1"/>
  <c r="I178" i="1"/>
  <c r="I180" i="1"/>
  <c r="I181" i="1"/>
  <c r="I182" i="1"/>
  <c r="I184" i="1"/>
  <c r="I185" i="1"/>
  <c r="I186" i="1"/>
  <c r="I188" i="1"/>
  <c r="I189" i="1"/>
  <c r="I190" i="1"/>
  <c r="I192" i="1"/>
  <c r="I193" i="1"/>
  <c r="I194" i="1"/>
  <c r="I196" i="1"/>
  <c r="I197" i="1"/>
  <c r="I198" i="1"/>
  <c r="I200" i="1"/>
  <c r="I201" i="1"/>
  <c r="I202" i="1"/>
  <c r="I204" i="1"/>
  <c r="I205" i="1"/>
  <c r="I206" i="1"/>
  <c r="I208" i="1"/>
  <c r="I209" i="1"/>
  <c r="I210" i="1"/>
  <c r="I212" i="1"/>
  <c r="I213" i="1"/>
  <c r="I214" i="1"/>
  <c r="I216" i="1"/>
  <c r="I217" i="1"/>
  <c r="I218" i="1"/>
  <c r="I220" i="1"/>
  <c r="I221" i="1"/>
  <c r="I222" i="1"/>
  <c r="I224" i="1"/>
  <c r="I225" i="1"/>
  <c r="I226" i="1"/>
  <c r="I228" i="1"/>
  <c r="I229" i="1"/>
  <c r="I230" i="1"/>
  <c r="I232" i="1"/>
  <c r="I233" i="1"/>
  <c r="I234" i="1"/>
  <c r="I236" i="1"/>
  <c r="I237" i="1"/>
  <c r="I238" i="1"/>
  <c r="I240" i="1"/>
  <c r="I241" i="1"/>
  <c r="I242" i="1"/>
  <c r="I244" i="1"/>
  <c r="I245" i="1"/>
  <c r="I246" i="1"/>
  <c r="I248" i="1"/>
  <c r="I249" i="1"/>
  <c r="I250" i="1"/>
  <c r="I252" i="1"/>
  <c r="I253" i="1"/>
  <c r="I254" i="1"/>
  <c r="I256" i="1"/>
  <c r="I257" i="1"/>
  <c r="I258" i="1"/>
  <c r="I260" i="1"/>
  <c r="I261" i="1"/>
  <c r="I262" i="1"/>
  <c r="I264" i="1"/>
  <c r="I265" i="1"/>
  <c r="I266" i="1"/>
  <c r="I268" i="1"/>
  <c r="I269" i="1"/>
  <c r="I270" i="1"/>
  <c r="I272" i="1"/>
  <c r="I273" i="1"/>
  <c r="I274" i="1"/>
  <c r="I276" i="1"/>
  <c r="I277" i="1"/>
  <c r="I278" i="1"/>
  <c r="I280" i="1"/>
  <c r="I281" i="1"/>
  <c r="I282" i="1"/>
  <c r="I284" i="1"/>
  <c r="I285" i="1"/>
  <c r="I286" i="1"/>
  <c r="I288" i="1"/>
  <c r="I289" i="1"/>
  <c r="I290" i="1"/>
  <c r="I292" i="1"/>
  <c r="I293" i="1"/>
  <c r="I294" i="1"/>
  <c r="I296" i="1"/>
  <c r="I297" i="1"/>
  <c r="I298" i="1"/>
  <c r="I300" i="1"/>
  <c r="I301" i="1"/>
  <c r="I302" i="1"/>
  <c r="I304" i="1"/>
  <c r="I305" i="1"/>
  <c r="I306" i="1"/>
  <c r="I308" i="1"/>
  <c r="I309" i="1"/>
  <c r="I310" i="1"/>
  <c r="I312" i="1"/>
  <c r="I313" i="1"/>
  <c r="I314" i="1"/>
  <c r="I316" i="1"/>
  <c r="I317" i="1"/>
  <c r="I318" i="1"/>
  <c r="I320" i="1"/>
  <c r="I321" i="1"/>
  <c r="I322" i="1"/>
  <c r="I324" i="1"/>
  <c r="I325" i="1"/>
  <c r="I326" i="1"/>
  <c r="I328" i="1"/>
  <c r="I329" i="1"/>
  <c r="I330" i="1"/>
  <c r="I332" i="1"/>
  <c r="I333" i="1"/>
  <c r="I334" i="1"/>
  <c r="I336" i="1"/>
  <c r="I337" i="1"/>
  <c r="I338" i="1"/>
  <c r="I340" i="1"/>
  <c r="I341" i="1"/>
  <c r="I342" i="1"/>
  <c r="I344" i="1"/>
  <c r="I345" i="1"/>
  <c r="I346" i="1"/>
  <c r="I348" i="1"/>
  <c r="I349" i="1"/>
  <c r="I350" i="1"/>
  <c r="I352" i="1"/>
  <c r="I353" i="1"/>
  <c r="I354" i="1"/>
  <c r="I356" i="1"/>
  <c r="I357" i="1"/>
  <c r="I358" i="1"/>
  <c r="I360" i="1"/>
  <c r="I361" i="1"/>
  <c r="I362" i="1"/>
  <c r="I364" i="1"/>
  <c r="I365" i="1"/>
  <c r="I366" i="1"/>
  <c r="I368" i="1"/>
  <c r="I369" i="1"/>
  <c r="I370" i="1"/>
  <c r="I372" i="1"/>
  <c r="I373" i="1"/>
  <c r="I374" i="1"/>
  <c r="I376" i="1"/>
  <c r="I377" i="1"/>
  <c r="I378" i="1"/>
  <c r="I380" i="1"/>
  <c r="I381" i="1"/>
  <c r="I382" i="1"/>
  <c r="I384" i="1"/>
  <c r="I385" i="1"/>
  <c r="I386" i="1"/>
  <c r="I388" i="1"/>
  <c r="I389" i="1"/>
  <c r="I390" i="1"/>
  <c r="I392" i="1"/>
  <c r="I393" i="1"/>
  <c r="I394" i="1"/>
  <c r="I396" i="1"/>
  <c r="I397" i="1"/>
  <c r="I398" i="1"/>
  <c r="I400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5" i="1"/>
  <c r="G4" i="1"/>
  <c r="I4" i="1" s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3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2" i="1"/>
</calcChain>
</file>

<file path=xl/sharedStrings.xml><?xml version="1.0" encoding="utf-8"?>
<sst xmlns="http://schemas.openxmlformats.org/spreadsheetml/2006/main" count="9" uniqueCount="9">
  <si>
    <t>PX</t>
  </si>
  <si>
    <t xml:space="preserve"> uold</t>
  </si>
  <si>
    <t>PX(%)</t>
    <phoneticPr fontId="18" type="noConversion"/>
  </si>
  <si>
    <t>Price(액면100)</t>
    <phoneticPr fontId="18" type="noConversion"/>
  </si>
  <si>
    <t>gamma</t>
    <phoneticPr fontId="18" type="noConversion"/>
  </si>
  <si>
    <t>%$gamma</t>
    <phoneticPr fontId="18" type="noConversion"/>
  </si>
  <si>
    <t>delta</t>
    <phoneticPr fontId="18" type="noConversion"/>
  </si>
  <si>
    <t>%$delta</t>
    <phoneticPr fontId="18" type="noConversion"/>
  </si>
  <si>
    <t>0.5% $gamma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</si>
</sst>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-* #,##0_-;\-* #,##0_-;_-* &quot;-&quot;_-;_-@_-"/>
    <numFmt numFmtId="179" formatCode="0.000000E+00"/>
    <numFmt numFmtId="181" formatCode="0.000%"/>
    <numFmt numFmtId="185" formatCode="_-* #,##0.0000_-;\-* #,##0.0000_-;_-* &quot;-&quot;_-;_-@_-"/>
    <numFmt numFmtId="204" formatCode="_-* #,##0.00000000000_-;\-* #,##0.00000000000_-;_-* &quot;-&quot;_-;_-@_-"/>
    <numFmt numFmtId="210" formatCode="_-* #,##0.0000000000000_-;\-* #,##0.0000000000000_-;_-* &quot;-&quot;_-;_-@_-"/>
    <numFmt numFmtId="224" formatCode="#,##0.00000000000_ 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33" borderId="0" xfId="0" applyFill="1">
      <alignment vertical="center"/>
    </xf>
    <xf numFmtId="181" fontId="0" fillId="0" borderId="0" xfId="2" applyNumberFormat="1" applyFont="1">
      <alignment vertical="center"/>
    </xf>
    <xf numFmtId="185" fontId="0" fillId="0" borderId="0" xfId="1" applyNumberFormat="1" applyFont="1">
      <alignment vertical="center"/>
    </xf>
    <xf numFmtId="204" fontId="0" fillId="0" borderId="0" xfId="1" applyNumberFormat="1" applyFont="1">
      <alignment vertical="center"/>
    </xf>
    <xf numFmtId="210" fontId="0" fillId="0" borderId="0" xfId="1" applyNumberFormat="1" applyFont="1">
      <alignment vertical="center"/>
    </xf>
    <xf numFmtId="224" fontId="0" fillId="0" borderId="0" xfId="1" applyNumberFormat="1" applyFont="1">
      <alignment vertical="center"/>
    </xf>
    <xf numFmtId="185" fontId="0" fillId="33" borderId="0" xfId="1" applyNumberFormat="1" applyFont="1" applyFill="1">
      <alignment vertical="center"/>
    </xf>
    <xf numFmtId="210" fontId="0" fillId="33" borderId="0" xfId="1" applyNumberFormat="1" applyFont="1" applyFill="1">
      <alignment vertical="center"/>
    </xf>
    <xf numFmtId="224" fontId="0" fillId="33" borderId="0" xfId="1" applyNumberFormat="1" applyFont="1" applyFill="1">
      <alignment vertical="center"/>
    </xf>
  </cellXfs>
  <cellStyles count="44">
    <cellStyle name="20% - 강조색1" xfId="21" builtinId="30" customBuiltin="1"/>
    <cellStyle name="20% - 강조색2" xfId="25" builtinId="34" customBuiltin="1"/>
    <cellStyle name="20% - 강조색3" xfId="29" builtinId="38" customBuiltin="1"/>
    <cellStyle name="20% - 강조색4" xfId="33" builtinId="42" customBuiltin="1"/>
    <cellStyle name="20% - 강조색5" xfId="37" builtinId="46" customBuiltin="1"/>
    <cellStyle name="20% - 강조색6" xfId="41" builtinId="50" customBuiltin="1"/>
    <cellStyle name="40% - 강조색1" xfId="22" builtinId="31" customBuiltin="1"/>
    <cellStyle name="40% - 강조색2" xfId="26" builtinId="35" customBuiltin="1"/>
    <cellStyle name="40% - 강조색3" xfId="30" builtinId="39" customBuiltin="1"/>
    <cellStyle name="40% - 강조색4" xfId="34" builtinId="43" customBuiltin="1"/>
    <cellStyle name="40% - 강조색5" xfId="38" builtinId="47" customBuiltin="1"/>
    <cellStyle name="40% - 강조색6" xfId="42" builtinId="51" customBuiltin="1"/>
    <cellStyle name="60% - 강조색1" xfId="23" builtinId="32" customBuiltin="1"/>
    <cellStyle name="60% - 강조색2" xfId="27" builtinId="36" customBuiltin="1"/>
    <cellStyle name="60% - 강조색3" xfId="31" builtinId="40" customBuiltin="1"/>
    <cellStyle name="60% - 강조색4" xfId="35" builtinId="44" customBuiltin="1"/>
    <cellStyle name="60% - 강조색5" xfId="39" builtinId="48" customBuiltin="1"/>
    <cellStyle name="60% - 강조색6" xfId="43" builtinId="52" customBuiltin="1"/>
    <cellStyle name="강조색1" xfId="20" builtinId="29" customBuiltin="1"/>
    <cellStyle name="강조색2" xfId="24" builtinId="33" customBuiltin="1"/>
    <cellStyle name="강조색3" xfId="28" builtinId="37" customBuiltin="1"/>
    <cellStyle name="강조색4" xfId="32" builtinId="41" customBuiltin="1"/>
    <cellStyle name="강조색5" xfId="36" builtinId="45" customBuiltin="1"/>
    <cellStyle name="강조색6" xfId="40" builtinId="49" customBuiltin="1"/>
    <cellStyle name="경고문" xfId="16" builtinId="11" customBuiltin="1"/>
    <cellStyle name="계산" xfId="13" builtinId="22" customBuiltin="1"/>
    <cellStyle name="나쁨" xfId="9" builtinId="27" customBuiltin="1"/>
    <cellStyle name="메모" xfId="17" builtinId="10" customBuiltin="1"/>
    <cellStyle name="백분율" xfId="2" builtinId="5"/>
    <cellStyle name="보통" xfId="10" builtinId="28" customBuiltin="1"/>
    <cellStyle name="설명 텍스트" xfId="18" builtinId="53" customBuiltin="1"/>
    <cellStyle name="셀 확인" xfId="15" builtinId="23" customBuiltin="1"/>
    <cellStyle name="쉼표 [0]" xfId="1" builtinId="6"/>
    <cellStyle name="연결된 셀" xfId="14" builtinId="24" customBuiltin="1"/>
    <cellStyle name="요약" xfId="19" builtinId="25" customBuiltin="1"/>
    <cellStyle name="입력" xfId="11" builtinId="20" customBuiltin="1"/>
    <cellStyle name="제목" xfId="3" builtinId="15" customBuiltin="1"/>
    <cellStyle name="제목 1" xfId="4" builtinId="16" customBuiltin="1"/>
    <cellStyle name="제목 2" xfId="5" builtinId="17" customBuiltin="1"/>
    <cellStyle name="제목 3" xfId="6" builtinId="18" customBuiltin="1"/>
    <cellStyle name="제목 4" xfId="7" builtinId="19" customBuiltin="1"/>
    <cellStyle name="좋음" xfId="8" builtinId="26" customBuiltin="1"/>
    <cellStyle name="출력" xfId="12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uold!$D$1</c:f>
              <c:strCache>
                <c:ptCount val="1"/>
                <c:pt idx="0">
                  <c:v>Price(액면100)</c:v>
                </c:pt>
              </c:strCache>
            </c:strRef>
          </c:tx>
          <c:marker>
            <c:symbol val="none"/>
          </c:marker>
          <c:xVal>
            <c:numRef>
              <c:f>uold!$B$2:$B$402</c:f>
              <c:numCache>
                <c:formatCode>0.000%</c:formatCode>
                <c:ptCount val="401"/>
                <c:pt idx="0">
                  <c:v>0</c:v>
                </c:pt>
                <c:pt idx="1">
                  <c:v>4.9999999999999992E-3</c:v>
                </c:pt>
                <c:pt idx="2">
                  <c:v>9.9999999999999985E-3</c:v>
                </c:pt>
                <c:pt idx="3">
                  <c:v>1.4999999999999999E-2</c:v>
                </c:pt>
                <c:pt idx="4">
                  <c:v>1.9999999999999997E-2</c:v>
                </c:pt>
                <c:pt idx="5">
                  <c:v>2.4999999999999998E-2</c:v>
                </c:pt>
                <c:pt idx="6">
                  <c:v>0.03</c:v>
                </c:pt>
                <c:pt idx="7">
                  <c:v>3.4999999999999996E-2</c:v>
                </c:pt>
                <c:pt idx="8">
                  <c:v>3.9999999999999994E-2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5.5E-2</c:v>
                </c:pt>
                <c:pt idx="12">
                  <c:v>0.06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7.9999999999999988E-2</c:v>
                </c:pt>
                <c:pt idx="17">
                  <c:v>8.4999999999999992E-2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9.9999999999999992E-2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0.12999999999999998</c:v>
                </c:pt>
                <c:pt idx="27">
                  <c:v>0.13499999999999998</c:v>
                </c:pt>
                <c:pt idx="28">
                  <c:v>0.13999999999999999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0.15499999999999997</c:v>
                </c:pt>
                <c:pt idx="32">
                  <c:v>0.15999999999999998</c:v>
                </c:pt>
                <c:pt idx="33">
                  <c:v>0.16499999999999998</c:v>
                </c:pt>
                <c:pt idx="34">
                  <c:v>0.16999999999999998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0.19499999999999998</c:v>
                </c:pt>
                <c:pt idx="40">
                  <c:v>0.19999999999999998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0.21499999999999997</c:v>
                </c:pt>
                <c:pt idx="44">
                  <c:v>0.22</c:v>
                </c:pt>
                <c:pt idx="45">
                  <c:v>0.22499999999999998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0.24499999999999997</c:v>
                </c:pt>
                <c:pt idx="50">
                  <c:v>0.25</c:v>
                </c:pt>
                <c:pt idx="51">
                  <c:v>0.255</c:v>
                </c:pt>
                <c:pt idx="52">
                  <c:v>0.25999999999999995</c:v>
                </c:pt>
                <c:pt idx="53">
                  <c:v>0.26499999999999996</c:v>
                </c:pt>
                <c:pt idx="54">
                  <c:v>0.26999999999999996</c:v>
                </c:pt>
                <c:pt idx="55">
                  <c:v>0.27499999999999997</c:v>
                </c:pt>
                <c:pt idx="56">
                  <c:v>0.27999999999999997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0.30999999999999994</c:v>
                </c:pt>
                <c:pt idx="63">
                  <c:v>0.315</c:v>
                </c:pt>
                <c:pt idx="64">
                  <c:v>0.31999999999999995</c:v>
                </c:pt>
                <c:pt idx="65">
                  <c:v>0.32500000000000001</c:v>
                </c:pt>
                <c:pt idx="66">
                  <c:v>0.32999999999999996</c:v>
                </c:pt>
                <c:pt idx="67">
                  <c:v>0.33500000000000002</c:v>
                </c:pt>
                <c:pt idx="68">
                  <c:v>0.3400006729022273</c:v>
                </c:pt>
                <c:pt idx="69">
                  <c:v>0.34500033645111361</c:v>
                </c:pt>
                <c:pt idx="70">
                  <c:v>0.35</c:v>
                </c:pt>
                <c:pt idx="71">
                  <c:v>0.35499966354888635</c:v>
                </c:pt>
                <c:pt idx="72">
                  <c:v>0.35999932709777266</c:v>
                </c:pt>
                <c:pt idx="73">
                  <c:v>0.36499899064665903</c:v>
                </c:pt>
                <c:pt idx="74">
                  <c:v>0.36999865419554534</c:v>
                </c:pt>
                <c:pt idx="75">
                  <c:v>0.37499831774443165</c:v>
                </c:pt>
                <c:pt idx="76">
                  <c:v>0.3800013458044546</c:v>
                </c:pt>
                <c:pt idx="77">
                  <c:v>0.38500100935334097</c:v>
                </c:pt>
                <c:pt idx="78">
                  <c:v>0.39000067290222729</c:v>
                </c:pt>
                <c:pt idx="79">
                  <c:v>0.3950003364511136</c:v>
                </c:pt>
                <c:pt idx="80">
                  <c:v>0.39999999999999997</c:v>
                </c:pt>
                <c:pt idx="81">
                  <c:v>0.40499966354888628</c:v>
                </c:pt>
                <c:pt idx="82">
                  <c:v>0.40999932709777265</c:v>
                </c:pt>
                <c:pt idx="83">
                  <c:v>0.41499899064665902</c:v>
                </c:pt>
                <c:pt idx="84">
                  <c:v>0.41999865419554533</c:v>
                </c:pt>
                <c:pt idx="85">
                  <c:v>0.4249983177444317</c:v>
                </c:pt>
                <c:pt idx="86">
                  <c:v>0.43000134580445459</c:v>
                </c:pt>
                <c:pt idx="87">
                  <c:v>0.43500100935334091</c:v>
                </c:pt>
                <c:pt idx="88">
                  <c:v>0.44000067290222722</c:v>
                </c:pt>
                <c:pt idx="89">
                  <c:v>0.44500033645111364</c:v>
                </c:pt>
                <c:pt idx="90">
                  <c:v>0.44999999999999996</c:v>
                </c:pt>
                <c:pt idx="91">
                  <c:v>0.45499966354888632</c:v>
                </c:pt>
                <c:pt idx="92">
                  <c:v>0.45999932709777264</c:v>
                </c:pt>
                <c:pt idx="93">
                  <c:v>0.46499899064665895</c:v>
                </c:pt>
                <c:pt idx="94">
                  <c:v>0.46999865419554537</c:v>
                </c:pt>
                <c:pt idx="95">
                  <c:v>0.47499831774443169</c:v>
                </c:pt>
                <c:pt idx="96">
                  <c:v>0.48000134580445458</c:v>
                </c:pt>
                <c:pt idx="97">
                  <c:v>0.4850010093533409</c:v>
                </c:pt>
                <c:pt idx="98">
                  <c:v>0.49000067290222726</c:v>
                </c:pt>
                <c:pt idx="99">
                  <c:v>0.49500033645111358</c:v>
                </c:pt>
                <c:pt idx="100">
                  <c:v>0.5</c:v>
                </c:pt>
                <c:pt idx="101">
                  <c:v>0.50499966354888626</c:v>
                </c:pt>
                <c:pt idx="102">
                  <c:v>0.50999932709777263</c:v>
                </c:pt>
                <c:pt idx="103">
                  <c:v>0.51499899064665899</c:v>
                </c:pt>
                <c:pt idx="104">
                  <c:v>0.51999865419554536</c:v>
                </c:pt>
                <c:pt idx="105">
                  <c:v>0.52499831774443162</c:v>
                </c:pt>
                <c:pt idx="106">
                  <c:v>0.53000134580445457</c:v>
                </c:pt>
                <c:pt idx="107">
                  <c:v>0.53500100935334094</c:v>
                </c:pt>
                <c:pt idx="108">
                  <c:v>0.5400006729022272</c:v>
                </c:pt>
                <c:pt idx="109">
                  <c:v>0.54500033645111368</c:v>
                </c:pt>
                <c:pt idx="110">
                  <c:v>0.54999999999999993</c:v>
                </c:pt>
                <c:pt idx="111">
                  <c:v>0.5549996635488863</c:v>
                </c:pt>
                <c:pt idx="112">
                  <c:v>0.55999932709777267</c:v>
                </c:pt>
                <c:pt idx="113">
                  <c:v>0.56499899064665904</c:v>
                </c:pt>
                <c:pt idx="114">
                  <c:v>0.5699986541955453</c:v>
                </c:pt>
                <c:pt idx="115">
                  <c:v>0.57499831774443166</c:v>
                </c:pt>
                <c:pt idx="116">
                  <c:v>0.58000134580445462</c:v>
                </c:pt>
                <c:pt idx="117">
                  <c:v>0.58500100935334087</c:v>
                </c:pt>
                <c:pt idx="118">
                  <c:v>0.59000067290222735</c:v>
                </c:pt>
                <c:pt idx="119">
                  <c:v>0.59500033645111361</c:v>
                </c:pt>
                <c:pt idx="120">
                  <c:v>0.6</c:v>
                </c:pt>
                <c:pt idx="121">
                  <c:v>0.60499966354888635</c:v>
                </c:pt>
                <c:pt idx="122">
                  <c:v>0.6099993270977726</c:v>
                </c:pt>
                <c:pt idx="123">
                  <c:v>0.61499899064665897</c:v>
                </c:pt>
                <c:pt idx="124">
                  <c:v>0.61999865419554534</c:v>
                </c:pt>
                <c:pt idx="125">
                  <c:v>0.62499831774443171</c:v>
                </c:pt>
                <c:pt idx="126">
                  <c:v>0.63000134580445455</c:v>
                </c:pt>
                <c:pt idx="127">
                  <c:v>0.63500100935334092</c:v>
                </c:pt>
                <c:pt idx="128">
                  <c:v>0.64000067290222729</c:v>
                </c:pt>
                <c:pt idx="129">
                  <c:v>0.64500033645111354</c:v>
                </c:pt>
                <c:pt idx="130">
                  <c:v>0.65</c:v>
                </c:pt>
                <c:pt idx="131">
                  <c:v>0.65499966354888628</c:v>
                </c:pt>
                <c:pt idx="132">
                  <c:v>0.65999932709777265</c:v>
                </c:pt>
                <c:pt idx="133">
                  <c:v>0.66499899064665902</c:v>
                </c:pt>
                <c:pt idx="134">
                  <c:v>0.66999865419554527</c:v>
                </c:pt>
                <c:pt idx="135">
                  <c:v>0.67499831774443164</c:v>
                </c:pt>
                <c:pt idx="136">
                  <c:v>0.68000134580445459</c:v>
                </c:pt>
                <c:pt idx="137">
                  <c:v>0.68500100935334096</c:v>
                </c:pt>
                <c:pt idx="138">
                  <c:v>0.69000067290222722</c:v>
                </c:pt>
                <c:pt idx="139">
                  <c:v>0.69500033645111359</c:v>
                </c:pt>
                <c:pt idx="140">
                  <c:v>0.7</c:v>
                </c:pt>
                <c:pt idx="141">
                  <c:v>0.70499966354888621</c:v>
                </c:pt>
                <c:pt idx="142">
                  <c:v>0.70999932709777269</c:v>
                </c:pt>
                <c:pt idx="143">
                  <c:v>0.71499899064665895</c:v>
                </c:pt>
                <c:pt idx="144">
                  <c:v>0.71999865419554532</c:v>
                </c:pt>
                <c:pt idx="145">
                  <c:v>0.72499831774443169</c:v>
                </c:pt>
                <c:pt idx="146">
                  <c:v>0.73000134580445453</c:v>
                </c:pt>
                <c:pt idx="147">
                  <c:v>0.7350010093533409</c:v>
                </c:pt>
                <c:pt idx="148">
                  <c:v>0.74000067290222726</c:v>
                </c:pt>
                <c:pt idx="149">
                  <c:v>0.74500033645111363</c:v>
                </c:pt>
                <c:pt idx="150">
                  <c:v>0.74999999999999989</c:v>
                </c:pt>
                <c:pt idx="151">
                  <c:v>0.75499966354888626</c:v>
                </c:pt>
                <c:pt idx="152">
                  <c:v>0.75999932709777263</c:v>
                </c:pt>
                <c:pt idx="153">
                  <c:v>0.76499899064665888</c:v>
                </c:pt>
                <c:pt idx="154">
                  <c:v>0.76999865419554536</c:v>
                </c:pt>
                <c:pt idx="155">
                  <c:v>0.77499831774443162</c:v>
                </c:pt>
                <c:pt idx="156">
                  <c:v>0.78000134580445457</c:v>
                </c:pt>
                <c:pt idx="157">
                  <c:v>0.78500100935334094</c:v>
                </c:pt>
                <c:pt idx="158">
                  <c:v>0.7900006729022272</c:v>
                </c:pt>
                <c:pt idx="159">
                  <c:v>0.79500033645111357</c:v>
                </c:pt>
                <c:pt idx="160">
                  <c:v>0.79999999999999993</c:v>
                </c:pt>
                <c:pt idx="161">
                  <c:v>0.8049996635488863</c:v>
                </c:pt>
                <c:pt idx="162">
                  <c:v>0.80999932709777256</c:v>
                </c:pt>
                <c:pt idx="163">
                  <c:v>0.81499899064665904</c:v>
                </c:pt>
                <c:pt idx="164">
                  <c:v>0.8199986541955453</c:v>
                </c:pt>
                <c:pt idx="165">
                  <c:v>0.82499831774443166</c:v>
                </c:pt>
                <c:pt idx="166">
                  <c:v>0.83000134580445462</c:v>
                </c:pt>
                <c:pt idx="167">
                  <c:v>0.83500100935334087</c:v>
                </c:pt>
                <c:pt idx="168">
                  <c:v>0.84000067290222724</c:v>
                </c:pt>
                <c:pt idx="169">
                  <c:v>0.84500033645111361</c:v>
                </c:pt>
                <c:pt idx="170">
                  <c:v>0.85</c:v>
                </c:pt>
                <c:pt idx="171">
                  <c:v>0.85499966354888624</c:v>
                </c:pt>
                <c:pt idx="172">
                  <c:v>0.8599993270977726</c:v>
                </c:pt>
                <c:pt idx="173">
                  <c:v>0.86499899064665908</c:v>
                </c:pt>
                <c:pt idx="174">
                  <c:v>0.86999865419554534</c:v>
                </c:pt>
                <c:pt idx="175">
                  <c:v>0.87499831774443171</c:v>
                </c:pt>
                <c:pt idx="176">
                  <c:v>0.88000134580445444</c:v>
                </c:pt>
                <c:pt idx="177">
                  <c:v>0.88500100935334092</c:v>
                </c:pt>
                <c:pt idx="178">
                  <c:v>0.89000067290222729</c:v>
                </c:pt>
                <c:pt idx="179">
                  <c:v>0.89500033645111354</c:v>
                </c:pt>
                <c:pt idx="180">
                  <c:v>0.89999999999999991</c:v>
                </c:pt>
                <c:pt idx="181">
                  <c:v>0.90499966354888617</c:v>
                </c:pt>
                <c:pt idx="182">
                  <c:v>0.90999932709777265</c:v>
                </c:pt>
                <c:pt idx="183">
                  <c:v>0.91499899064665902</c:v>
                </c:pt>
                <c:pt idx="184">
                  <c:v>0.91999865419554527</c:v>
                </c:pt>
                <c:pt idx="185">
                  <c:v>0.92499831774443164</c:v>
                </c:pt>
                <c:pt idx="186">
                  <c:v>0.93000134580445459</c:v>
                </c:pt>
                <c:pt idx="187">
                  <c:v>0.93500100935334096</c:v>
                </c:pt>
                <c:pt idx="188">
                  <c:v>0.94000067290222722</c:v>
                </c:pt>
                <c:pt idx="189">
                  <c:v>0.94500033645111359</c:v>
                </c:pt>
                <c:pt idx="190">
                  <c:v>0.94999999999999984</c:v>
                </c:pt>
                <c:pt idx="191">
                  <c:v>0.95499966354888632</c:v>
                </c:pt>
                <c:pt idx="192">
                  <c:v>0.95999932709777269</c:v>
                </c:pt>
                <c:pt idx="193">
                  <c:v>0.96499899064665895</c:v>
                </c:pt>
                <c:pt idx="194">
                  <c:v>0.96999865419554532</c:v>
                </c:pt>
                <c:pt idx="195">
                  <c:v>0.97499831774443158</c:v>
                </c:pt>
                <c:pt idx="196">
                  <c:v>0.98000134580445453</c:v>
                </c:pt>
                <c:pt idx="197">
                  <c:v>0.9850010093533409</c:v>
                </c:pt>
                <c:pt idx="198">
                  <c:v>0.99000067290222715</c:v>
                </c:pt>
                <c:pt idx="199">
                  <c:v>0.99500033645111352</c:v>
                </c:pt>
                <c:pt idx="200">
                  <c:v>1</c:v>
                </c:pt>
                <c:pt idx="201">
                  <c:v>1.0049996635488863</c:v>
                </c:pt>
                <c:pt idx="202">
                  <c:v>1.0099993270977725</c:v>
                </c:pt>
                <c:pt idx="203">
                  <c:v>1.014998990646659</c:v>
                </c:pt>
                <c:pt idx="204">
                  <c:v>1.0199986541955453</c:v>
                </c:pt>
                <c:pt idx="205">
                  <c:v>1.0249983177444315</c:v>
                </c:pt>
                <c:pt idx="206">
                  <c:v>1.0300013458044546</c:v>
                </c:pt>
                <c:pt idx="207">
                  <c:v>1.0350010093533408</c:v>
                </c:pt>
                <c:pt idx="208">
                  <c:v>1.0400006729022271</c:v>
                </c:pt>
                <c:pt idx="209">
                  <c:v>1.0450003364511136</c:v>
                </c:pt>
                <c:pt idx="210">
                  <c:v>1.05</c:v>
                </c:pt>
                <c:pt idx="211">
                  <c:v>1.0549996635488863</c:v>
                </c:pt>
                <c:pt idx="212">
                  <c:v>1.0599993270977726</c:v>
                </c:pt>
                <c:pt idx="213">
                  <c:v>1.0649989906466588</c:v>
                </c:pt>
                <c:pt idx="214">
                  <c:v>1.0699986541955453</c:v>
                </c:pt>
                <c:pt idx="215">
                  <c:v>1.0750016822555681</c:v>
                </c:pt>
                <c:pt idx="216">
                  <c:v>1.0800013458044544</c:v>
                </c:pt>
                <c:pt idx="217">
                  <c:v>1.0850010093533409</c:v>
                </c:pt>
                <c:pt idx="218">
                  <c:v>1.0900006729022274</c:v>
                </c:pt>
                <c:pt idx="219">
                  <c:v>1.0950003364511136</c:v>
                </c:pt>
                <c:pt idx="220">
                  <c:v>1.0999999999999999</c:v>
                </c:pt>
                <c:pt idx="221">
                  <c:v>1.1049996635488863</c:v>
                </c:pt>
                <c:pt idx="222">
                  <c:v>1.1099993270977726</c:v>
                </c:pt>
                <c:pt idx="223">
                  <c:v>1.1149989906466589</c:v>
                </c:pt>
                <c:pt idx="224">
                  <c:v>1.1199986541955453</c:v>
                </c:pt>
                <c:pt idx="225">
                  <c:v>1.1250016822555682</c:v>
                </c:pt>
                <c:pt idx="226">
                  <c:v>1.1300013458044544</c:v>
                </c:pt>
                <c:pt idx="227">
                  <c:v>1.1350010093533409</c:v>
                </c:pt>
                <c:pt idx="228">
                  <c:v>1.1400006729022272</c:v>
                </c:pt>
                <c:pt idx="229">
                  <c:v>1.1450003364511137</c:v>
                </c:pt>
                <c:pt idx="230">
                  <c:v>1.1499999999999999</c:v>
                </c:pt>
                <c:pt idx="231">
                  <c:v>1.1549996635488862</c:v>
                </c:pt>
                <c:pt idx="232">
                  <c:v>1.1599993270977724</c:v>
                </c:pt>
                <c:pt idx="233">
                  <c:v>1.1649989906466589</c:v>
                </c:pt>
                <c:pt idx="234">
                  <c:v>1.1699986541955454</c:v>
                </c:pt>
                <c:pt idx="235">
                  <c:v>1.175001682255568</c:v>
                </c:pt>
                <c:pt idx="236">
                  <c:v>1.1800013458044547</c:v>
                </c:pt>
                <c:pt idx="237">
                  <c:v>1.185001009353341</c:v>
                </c:pt>
                <c:pt idx="238">
                  <c:v>1.1900006729022272</c:v>
                </c:pt>
                <c:pt idx="239">
                  <c:v>1.1950003364511135</c:v>
                </c:pt>
                <c:pt idx="240">
                  <c:v>1.2</c:v>
                </c:pt>
                <c:pt idx="241">
                  <c:v>1.2049996635488862</c:v>
                </c:pt>
                <c:pt idx="242">
                  <c:v>1.2099993270977727</c:v>
                </c:pt>
                <c:pt idx="243">
                  <c:v>1.2149989906466589</c:v>
                </c:pt>
                <c:pt idx="244">
                  <c:v>1.2199986541955452</c:v>
                </c:pt>
                <c:pt idx="245">
                  <c:v>1.2250016822555683</c:v>
                </c:pt>
                <c:pt idx="246">
                  <c:v>1.2300013458044545</c:v>
                </c:pt>
                <c:pt idx="247">
                  <c:v>1.2350010093533408</c:v>
                </c:pt>
                <c:pt idx="248">
                  <c:v>1.2400006729022273</c:v>
                </c:pt>
                <c:pt idx="249">
                  <c:v>1.2450003364511135</c:v>
                </c:pt>
                <c:pt idx="250">
                  <c:v>1.2499999999999998</c:v>
                </c:pt>
                <c:pt idx="251">
                  <c:v>1.2549996635488863</c:v>
                </c:pt>
                <c:pt idx="252">
                  <c:v>1.2599993270977725</c:v>
                </c:pt>
                <c:pt idx="253">
                  <c:v>1.264998990646659</c:v>
                </c:pt>
                <c:pt idx="254">
                  <c:v>1.2699986541955453</c:v>
                </c:pt>
                <c:pt idx="255">
                  <c:v>1.2750016822555683</c:v>
                </c:pt>
                <c:pt idx="256">
                  <c:v>1.2800013458044546</c:v>
                </c:pt>
                <c:pt idx="257">
                  <c:v>1.2850010093533408</c:v>
                </c:pt>
                <c:pt idx="258">
                  <c:v>1.2900006729022271</c:v>
                </c:pt>
                <c:pt idx="259">
                  <c:v>1.2950003364511136</c:v>
                </c:pt>
                <c:pt idx="260">
                  <c:v>1.3</c:v>
                </c:pt>
                <c:pt idx="261">
                  <c:v>1.3049996635488863</c:v>
                </c:pt>
                <c:pt idx="262">
                  <c:v>1.3099993270977726</c:v>
                </c:pt>
                <c:pt idx="263">
                  <c:v>1.3149989906466588</c:v>
                </c:pt>
                <c:pt idx="264">
                  <c:v>1.3199986541955453</c:v>
                </c:pt>
                <c:pt idx="265">
                  <c:v>1.3250016822555681</c:v>
                </c:pt>
                <c:pt idx="266">
                  <c:v>1.3300013458044544</c:v>
                </c:pt>
                <c:pt idx="267">
                  <c:v>1.3350010093533409</c:v>
                </c:pt>
                <c:pt idx="268">
                  <c:v>1.3400006729022271</c:v>
                </c:pt>
                <c:pt idx="269">
                  <c:v>1.3450003364511136</c:v>
                </c:pt>
                <c:pt idx="270">
                  <c:v>1.3499999999999999</c:v>
                </c:pt>
                <c:pt idx="271">
                  <c:v>1.3549996635488863</c:v>
                </c:pt>
                <c:pt idx="272">
                  <c:v>1.3599993270977726</c:v>
                </c:pt>
                <c:pt idx="273">
                  <c:v>1.3649989906466589</c:v>
                </c:pt>
                <c:pt idx="274">
                  <c:v>1.3699986541955451</c:v>
                </c:pt>
                <c:pt idx="275">
                  <c:v>1.3750016822555682</c:v>
                </c:pt>
                <c:pt idx="276">
                  <c:v>1.3800013458044544</c:v>
                </c:pt>
                <c:pt idx="277">
                  <c:v>1.3850010093533407</c:v>
                </c:pt>
                <c:pt idx="278">
                  <c:v>1.3900006729022272</c:v>
                </c:pt>
                <c:pt idx="279">
                  <c:v>1.3950003364511137</c:v>
                </c:pt>
                <c:pt idx="280">
                  <c:v>1.4</c:v>
                </c:pt>
                <c:pt idx="281">
                  <c:v>1.4049996635488862</c:v>
                </c:pt>
                <c:pt idx="282">
                  <c:v>1.4099993270977724</c:v>
                </c:pt>
                <c:pt idx="283">
                  <c:v>1.4149989906466589</c:v>
                </c:pt>
                <c:pt idx="284">
                  <c:v>1.4199986541955454</c:v>
                </c:pt>
                <c:pt idx="285">
                  <c:v>1.425001682255568</c:v>
                </c:pt>
                <c:pt idx="286">
                  <c:v>1.4300013458044545</c:v>
                </c:pt>
                <c:pt idx="287">
                  <c:v>1.435001009353341</c:v>
                </c:pt>
                <c:pt idx="288">
                  <c:v>1.4400006729022272</c:v>
                </c:pt>
                <c:pt idx="289">
                  <c:v>1.4450003364511135</c:v>
                </c:pt>
                <c:pt idx="290">
                  <c:v>1.45</c:v>
                </c:pt>
                <c:pt idx="291">
                  <c:v>1.4549996635488862</c:v>
                </c:pt>
                <c:pt idx="292">
                  <c:v>1.4599993270977725</c:v>
                </c:pt>
                <c:pt idx="293">
                  <c:v>1.4649989906466589</c:v>
                </c:pt>
                <c:pt idx="294">
                  <c:v>1.4699986541955452</c:v>
                </c:pt>
                <c:pt idx="295">
                  <c:v>1.475001682255568</c:v>
                </c:pt>
                <c:pt idx="296">
                  <c:v>1.4800013458044545</c:v>
                </c:pt>
                <c:pt idx="297">
                  <c:v>1.4850010093533408</c:v>
                </c:pt>
                <c:pt idx="298">
                  <c:v>1.4900006729022273</c:v>
                </c:pt>
                <c:pt idx="299">
                  <c:v>1.4950003364511135</c:v>
                </c:pt>
                <c:pt idx="300">
                  <c:v>1.4999999999999998</c:v>
                </c:pt>
                <c:pt idx="301">
                  <c:v>1.504999663548886</c:v>
                </c:pt>
                <c:pt idx="302">
                  <c:v>1.5099993270977725</c:v>
                </c:pt>
                <c:pt idx="303">
                  <c:v>1.514998990646659</c:v>
                </c:pt>
                <c:pt idx="304">
                  <c:v>1.5199986541955453</c:v>
                </c:pt>
                <c:pt idx="305">
                  <c:v>1.5250016822555683</c:v>
                </c:pt>
                <c:pt idx="306">
                  <c:v>1.5300013458044546</c:v>
                </c:pt>
                <c:pt idx="307">
                  <c:v>1.5350010093533408</c:v>
                </c:pt>
                <c:pt idx="308">
                  <c:v>1.5400006729022271</c:v>
                </c:pt>
                <c:pt idx="309">
                  <c:v>1.5450003364511136</c:v>
                </c:pt>
                <c:pt idx="310">
                  <c:v>1.5499999999999998</c:v>
                </c:pt>
                <c:pt idx="311">
                  <c:v>1.5549996635488863</c:v>
                </c:pt>
                <c:pt idx="312">
                  <c:v>1.5599993270977726</c:v>
                </c:pt>
                <c:pt idx="313">
                  <c:v>1.5649989906466588</c:v>
                </c:pt>
                <c:pt idx="314">
                  <c:v>1.5699986541955453</c:v>
                </c:pt>
                <c:pt idx="315">
                  <c:v>1.5750016822555681</c:v>
                </c:pt>
                <c:pt idx="316">
                  <c:v>1.5800013458044544</c:v>
                </c:pt>
                <c:pt idx="317">
                  <c:v>1.5850010093533409</c:v>
                </c:pt>
                <c:pt idx="318">
                  <c:v>1.5900006729022271</c:v>
                </c:pt>
                <c:pt idx="319">
                  <c:v>1.5950003364511134</c:v>
                </c:pt>
                <c:pt idx="320">
                  <c:v>1.5999999999999999</c:v>
                </c:pt>
                <c:pt idx="321">
                  <c:v>1.6049996635488863</c:v>
                </c:pt>
                <c:pt idx="322">
                  <c:v>1.6099993270977726</c:v>
                </c:pt>
                <c:pt idx="323">
                  <c:v>1.6149989906466589</c:v>
                </c:pt>
                <c:pt idx="324">
                  <c:v>1.6199986541955451</c:v>
                </c:pt>
                <c:pt idx="325">
                  <c:v>1.6250016822555682</c:v>
                </c:pt>
                <c:pt idx="326">
                  <c:v>1.6300013458044544</c:v>
                </c:pt>
                <c:pt idx="327">
                  <c:v>1.6350010093533407</c:v>
                </c:pt>
                <c:pt idx="328">
                  <c:v>1.6400006729022272</c:v>
                </c:pt>
                <c:pt idx="329">
                  <c:v>1.6450003364511137</c:v>
                </c:pt>
                <c:pt idx="330">
                  <c:v>1.65</c:v>
                </c:pt>
                <c:pt idx="331">
                  <c:v>1.6549996635488862</c:v>
                </c:pt>
                <c:pt idx="332">
                  <c:v>1.6599993270977724</c:v>
                </c:pt>
                <c:pt idx="333">
                  <c:v>1.6649989906466589</c:v>
                </c:pt>
                <c:pt idx="334">
                  <c:v>1.6699986541955454</c:v>
                </c:pt>
                <c:pt idx="335">
                  <c:v>1.675001682255568</c:v>
                </c:pt>
                <c:pt idx="336">
                  <c:v>1.6800013458044545</c:v>
                </c:pt>
                <c:pt idx="337">
                  <c:v>1.6850010093533407</c:v>
                </c:pt>
                <c:pt idx="338">
                  <c:v>1.6900006729022272</c:v>
                </c:pt>
                <c:pt idx="339">
                  <c:v>1.6950003364511135</c:v>
                </c:pt>
                <c:pt idx="340">
                  <c:v>1.7</c:v>
                </c:pt>
                <c:pt idx="341">
                  <c:v>1.7049996635488862</c:v>
                </c:pt>
                <c:pt idx="342">
                  <c:v>1.7099993270977725</c:v>
                </c:pt>
                <c:pt idx="343">
                  <c:v>1.7149989906466589</c:v>
                </c:pt>
                <c:pt idx="344">
                  <c:v>1.7199986541955452</c:v>
                </c:pt>
                <c:pt idx="345">
                  <c:v>1.7250016822555683</c:v>
                </c:pt>
                <c:pt idx="346">
                  <c:v>1.7300013458044545</c:v>
                </c:pt>
                <c:pt idx="347">
                  <c:v>1.7350010093533408</c:v>
                </c:pt>
                <c:pt idx="348">
                  <c:v>1.7400006729022273</c:v>
                </c:pt>
                <c:pt idx="349">
                  <c:v>1.7450003364511135</c:v>
                </c:pt>
                <c:pt idx="350">
                  <c:v>1.7499999999999998</c:v>
                </c:pt>
                <c:pt idx="351">
                  <c:v>1.754999663548886</c:v>
                </c:pt>
                <c:pt idx="352">
                  <c:v>1.7599993270977725</c:v>
                </c:pt>
                <c:pt idx="353">
                  <c:v>1.7649989906466588</c:v>
                </c:pt>
                <c:pt idx="354">
                  <c:v>1.769998654195545</c:v>
                </c:pt>
                <c:pt idx="355">
                  <c:v>1.7750016822555683</c:v>
                </c:pt>
                <c:pt idx="356">
                  <c:v>1.7800013458044546</c:v>
                </c:pt>
                <c:pt idx="357">
                  <c:v>1.7850010093533408</c:v>
                </c:pt>
                <c:pt idx="358">
                  <c:v>1.7900006729022271</c:v>
                </c:pt>
                <c:pt idx="359">
                  <c:v>1.7950003364511136</c:v>
                </c:pt>
                <c:pt idx="360">
                  <c:v>1.7999999999999998</c:v>
                </c:pt>
                <c:pt idx="361">
                  <c:v>1.8049996635488861</c:v>
                </c:pt>
                <c:pt idx="362">
                  <c:v>1.8099993270977723</c:v>
                </c:pt>
                <c:pt idx="363">
                  <c:v>1.8149989906466588</c:v>
                </c:pt>
                <c:pt idx="364">
                  <c:v>1.8199986541955453</c:v>
                </c:pt>
                <c:pt idx="365">
                  <c:v>1.8250016822555681</c:v>
                </c:pt>
                <c:pt idx="366">
                  <c:v>1.8300013458044544</c:v>
                </c:pt>
                <c:pt idx="367">
                  <c:v>1.8350010093533409</c:v>
                </c:pt>
                <c:pt idx="368">
                  <c:v>1.8400006729022271</c:v>
                </c:pt>
                <c:pt idx="369">
                  <c:v>1.8450003364511134</c:v>
                </c:pt>
                <c:pt idx="370">
                  <c:v>1.8499999999999996</c:v>
                </c:pt>
                <c:pt idx="371">
                  <c:v>1.8549996635488861</c:v>
                </c:pt>
                <c:pt idx="372">
                  <c:v>1.8599993270977724</c:v>
                </c:pt>
                <c:pt idx="373">
                  <c:v>1.8649989906466591</c:v>
                </c:pt>
                <c:pt idx="374">
                  <c:v>1.8699986541955453</c:v>
                </c:pt>
                <c:pt idx="375">
                  <c:v>1.8750016822555682</c:v>
                </c:pt>
                <c:pt idx="376">
                  <c:v>1.8800013458044544</c:v>
                </c:pt>
                <c:pt idx="377">
                  <c:v>1.8850010093533407</c:v>
                </c:pt>
                <c:pt idx="378">
                  <c:v>1.8900006729022272</c:v>
                </c:pt>
                <c:pt idx="379">
                  <c:v>1.8950003364511134</c:v>
                </c:pt>
                <c:pt idx="380">
                  <c:v>1.8999999999999997</c:v>
                </c:pt>
                <c:pt idx="381">
                  <c:v>1.9049996635488859</c:v>
                </c:pt>
                <c:pt idx="382">
                  <c:v>1.9099993270977726</c:v>
                </c:pt>
                <c:pt idx="383">
                  <c:v>1.9149989906466589</c:v>
                </c:pt>
                <c:pt idx="384">
                  <c:v>1.9199986541955454</c:v>
                </c:pt>
                <c:pt idx="385">
                  <c:v>1.925001682255568</c:v>
                </c:pt>
                <c:pt idx="386">
                  <c:v>1.9300013458044545</c:v>
                </c:pt>
                <c:pt idx="387">
                  <c:v>1.9350010093533407</c:v>
                </c:pt>
                <c:pt idx="388">
                  <c:v>1.940000672902227</c:v>
                </c:pt>
                <c:pt idx="389">
                  <c:v>1.9450003364511133</c:v>
                </c:pt>
                <c:pt idx="390">
                  <c:v>1.9499999999999997</c:v>
                </c:pt>
                <c:pt idx="391">
                  <c:v>1.9549996635488864</c:v>
                </c:pt>
                <c:pt idx="392">
                  <c:v>1.9599993270977727</c:v>
                </c:pt>
                <c:pt idx="393">
                  <c:v>1.9649989906466589</c:v>
                </c:pt>
                <c:pt idx="394">
                  <c:v>1.9699986541955452</c:v>
                </c:pt>
                <c:pt idx="395">
                  <c:v>1.975001682255568</c:v>
                </c:pt>
                <c:pt idx="396">
                  <c:v>1.9800013458044543</c:v>
                </c:pt>
                <c:pt idx="397">
                  <c:v>1.9850010093533408</c:v>
                </c:pt>
                <c:pt idx="398">
                  <c:v>1.990000672902227</c:v>
                </c:pt>
                <c:pt idx="399">
                  <c:v>1.9950003364511133</c:v>
                </c:pt>
                <c:pt idx="400">
                  <c:v>2</c:v>
                </c:pt>
              </c:numCache>
            </c:numRef>
          </c:xVal>
          <c:yVal>
            <c:numRef>
              <c:f>uold!$D$2:$D$402</c:f>
              <c:numCache>
                <c:formatCode>_-* #,##0.0000_-;\-* #,##0.0000_-;_-* "-"_-;_-@_-</c:formatCode>
                <c:ptCount val="401"/>
                <c:pt idx="0">
                  <c:v>5.2041700000000002E-14</c:v>
                </c:pt>
                <c:pt idx="1">
                  <c:v>0.46590900000000002</c:v>
                </c:pt>
                <c:pt idx="2">
                  <c:v>0.93181900000000006</c:v>
                </c:pt>
                <c:pt idx="3">
                  <c:v>1.3977299999999999</c:v>
                </c:pt>
                <c:pt idx="4">
                  <c:v>1.8636400000000002</c:v>
                </c:pt>
                <c:pt idx="5">
                  <c:v>2.3295500000000002</c:v>
                </c:pt>
                <c:pt idx="6">
                  <c:v>2.7954599999999998</c:v>
                </c:pt>
                <c:pt idx="7">
                  <c:v>3.2613700000000003</c:v>
                </c:pt>
                <c:pt idx="8">
                  <c:v>3.7272800000000004</c:v>
                </c:pt>
                <c:pt idx="9">
                  <c:v>4.1931900000000004</c:v>
                </c:pt>
                <c:pt idx="10">
                  <c:v>4.65909</c:v>
                </c:pt>
                <c:pt idx="11">
                  <c:v>5.125</c:v>
                </c:pt>
                <c:pt idx="12">
                  <c:v>5.59091</c:v>
                </c:pt>
                <c:pt idx="13">
                  <c:v>6.0568200000000001</c:v>
                </c:pt>
                <c:pt idx="14">
                  <c:v>6.5227300000000001</c:v>
                </c:pt>
                <c:pt idx="15">
                  <c:v>6.9886400000000002</c:v>
                </c:pt>
                <c:pt idx="16">
                  <c:v>7.4545500000000002</c:v>
                </c:pt>
                <c:pt idx="17">
                  <c:v>7.9204600000000003</c:v>
                </c:pt>
                <c:pt idx="18">
                  <c:v>8.3863699999999994</c:v>
                </c:pt>
                <c:pt idx="19">
                  <c:v>8.8522800000000004</c:v>
                </c:pt>
                <c:pt idx="20">
                  <c:v>9.3181899999999995</c:v>
                </c:pt>
                <c:pt idx="21">
                  <c:v>9.7841000000000005</c:v>
                </c:pt>
                <c:pt idx="22">
                  <c:v>10.25</c:v>
                </c:pt>
                <c:pt idx="23">
                  <c:v>10.715900000000001</c:v>
                </c:pt>
                <c:pt idx="24">
                  <c:v>11.181800000000001</c:v>
                </c:pt>
                <c:pt idx="25">
                  <c:v>11.6478</c:v>
                </c:pt>
                <c:pt idx="26">
                  <c:v>12.1137</c:v>
                </c:pt>
                <c:pt idx="27">
                  <c:v>12.579599999999999</c:v>
                </c:pt>
                <c:pt idx="28">
                  <c:v>13.045599999999999</c:v>
                </c:pt>
                <c:pt idx="29">
                  <c:v>13.511500000000002</c:v>
                </c:pt>
                <c:pt idx="30">
                  <c:v>13.977500000000001</c:v>
                </c:pt>
                <c:pt idx="31">
                  <c:v>14.4435</c:v>
                </c:pt>
                <c:pt idx="32">
                  <c:v>14.909500000000001</c:v>
                </c:pt>
                <c:pt idx="33">
                  <c:v>15.375500000000001</c:v>
                </c:pt>
                <c:pt idx="34">
                  <c:v>15.8416</c:v>
                </c:pt>
                <c:pt idx="35">
                  <c:v>16.307700000000001</c:v>
                </c:pt>
                <c:pt idx="36">
                  <c:v>16.773900000000001</c:v>
                </c:pt>
                <c:pt idx="37">
                  <c:v>17.240099999999998</c:v>
                </c:pt>
                <c:pt idx="38">
                  <c:v>17.706399999999999</c:v>
                </c:pt>
                <c:pt idx="39">
                  <c:v>18.172699999999999</c:v>
                </c:pt>
                <c:pt idx="40">
                  <c:v>18.639199999999999</c:v>
                </c:pt>
                <c:pt idx="41">
                  <c:v>19.105699999999999</c:v>
                </c:pt>
                <c:pt idx="42">
                  <c:v>19.572300000000002</c:v>
                </c:pt>
                <c:pt idx="43">
                  <c:v>20.039100000000001</c:v>
                </c:pt>
                <c:pt idx="44">
                  <c:v>20.506</c:v>
                </c:pt>
                <c:pt idx="45">
                  <c:v>20.973099999999999</c:v>
                </c:pt>
                <c:pt idx="46">
                  <c:v>21.440300000000001</c:v>
                </c:pt>
                <c:pt idx="47">
                  <c:v>21.907799999999998</c:v>
                </c:pt>
                <c:pt idx="48">
                  <c:v>22.375399999999999</c:v>
                </c:pt>
                <c:pt idx="49">
                  <c:v>22.843299999999999</c:v>
                </c:pt>
                <c:pt idx="50">
                  <c:v>23.311399999999999</c:v>
                </c:pt>
                <c:pt idx="51">
                  <c:v>23.779700000000002</c:v>
                </c:pt>
                <c:pt idx="52">
                  <c:v>24.2484</c:v>
                </c:pt>
                <c:pt idx="53">
                  <c:v>24.717400000000001</c:v>
                </c:pt>
                <c:pt idx="54">
                  <c:v>25.186700000000002</c:v>
                </c:pt>
                <c:pt idx="55">
                  <c:v>25.656299999999998</c:v>
                </c:pt>
                <c:pt idx="56">
                  <c:v>26.126300000000001</c:v>
                </c:pt>
                <c:pt idx="57">
                  <c:v>26.596700000000002</c:v>
                </c:pt>
                <c:pt idx="58">
                  <c:v>27.067499999999999</c:v>
                </c:pt>
                <c:pt idx="59">
                  <c:v>27.538800000000002</c:v>
                </c:pt>
                <c:pt idx="60">
                  <c:v>28.0105</c:v>
                </c:pt>
                <c:pt idx="61">
                  <c:v>28.482700000000001</c:v>
                </c:pt>
                <c:pt idx="62">
                  <c:v>28.955399999999997</c:v>
                </c:pt>
                <c:pt idx="63">
                  <c:v>29.428599999999999</c:v>
                </c:pt>
                <c:pt idx="64">
                  <c:v>29.9024</c:v>
                </c:pt>
                <c:pt idx="65">
                  <c:v>30.3767</c:v>
                </c:pt>
                <c:pt idx="66">
                  <c:v>30.851699999999997</c:v>
                </c:pt>
                <c:pt idx="67">
                  <c:v>31.327199999999998</c:v>
                </c:pt>
                <c:pt idx="68">
                  <c:v>31.8033</c:v>
                </c:pt>
                <c:pt idx="69">
                  <c:v>32.280099999999997</c:v>
                </c:pt>
                <c:pt idx="70">
                  <c:v>32.757599999999996</c:v>
                </c:pt>
                <c:pt idx="71">
                  <c:v>33.235700000000001</c:v>
                </c:pt>
                <c:pt idx="72">
                  <c:v>33.714499999999994</c:v>
                </c:pt>
                <c:pt idx="73">
                  <c:v>34.194000000000003</c:v>
                </c:pt>
                <c:pt idx="74">
                  <c:v>34.674199999999999</c:v>
                </c:pt>
                <c:pt idx="75">
                  <c:v>35.155099999999997</c:v>
                </c:pt>
                <c:pt idx="76">
                  <c:v>35.636800000000001</c:v>
                </c:pt>
                <c:pt idx="77">
                  <c:v>36.119299999999996</c:v>
                </c:pt>
                <c:pt idx="78">
                  <c:v>36.602499999999999</c:v>
                </c:pt>
                <c:pt idx="79">
                  <c:v>37.086400000000005</c:v>
                </c:pt>
                <c:pt idx="80">
                  <c:v>37.571199999999997</c:v>
                </c:pt>
                <c:pt idx="81">
                  <c:v>38.056699999999999</c:v>
                </c:pt>
                <c:pt idx="82">
                  <c:v>38.542999999999999</c:v>
                </c:pt>
                <c:pt idx="83">
                  <c:v>39.030100000000004</c:v>
                </c:pt>
                <c:pt idx="84">
                  <c:v>39.518000000000001</c:v>
                </c:pt>
                <c:pt idx="85">
                  <c:v>40.006700000000002</c:v>
                </c:pt>
                <c:pt idx="86">
                  <c:v>40.496200000000002</c:v>
                </c:pt>
                <c:pt idx="87">
                  <c:v>40.986499999999999</c:v>
                </c:pt>
                <c:pt idx="88">
                  <c:v>41.477599999999995</c:v>
                </c:pt>
                <c:pt idx="89">
                  <c:v>41.9694</c:v>
                </c:pt>
                <c:pt idx="90">
                  <c:v>42.4621</c:v>
                </c:pt>
                <c:pt idx="91">
                  <c:v>42.955500000000001</c:v>
                </c:pt>
                <c:pt idx="92">
                  <c:v>43.4497</c:v>
                </c:pt>
                <c:pt idx="93">
                  <c:v>43.944699999999997</c:v>
                </c:pt>
                <c:pt idx="94">
                  <c:v>44.440400000000004</c:v>
                </c:pt>
                <c:pt idx="95">
                  <c:v>44.936900000000001</c:v>
                </c:pt>
                <c:pt idx="96">
                  <c:v>45.434100000000001</c:v>
                </c:pt>
                <c:pt idx="97">
                  <c:v>45.932099999999998</c:v>
                </c:pt>
                <c:pt idx="98">
                  <c:v>46.430799999999998</c:v>
                </c:pt>
                <c:pt idx="99">
                  <c:v>46.930199999999999</c:v>
                </c:pt>
                <c:pt idx="100">
                  <c:v>47.430199999999999</c:v>
                </c:pt>
                <c:pt idx="101">
                  <c:v>47.931000000000004</c:v>
                </c:pt>
                <c:pt idx="102">
                  <c:v>48.432400000000001</c:v>
                </c:pt>
                <c:pt idx="103">
                  <c:v>48.9345</c:v>
                </c:pt>
                <c:pt idx="104">
                  <c:v>49.437199999999997</c:v>
                </c:pt>
                <c:pt idx="105">
                  <c:v>49.940600000000003</c:v>
                </c:pt>
                <c:pt idx="106">
                  <c:v>50.444500000000005</c:v>
                </c:pt>
                <c:pt idx="107">
                  <c:v>50.948999999999998</c:v>
                </c:pt>
                <c:pt idx="108">
                  <c:v>51.454100000000004</c:v>
                </c:pt>
                <c:pt idx="109">
                  <c:v>51.959800000000001</c:v>
                </c:pt>
                <c:pt idx="110">
                  <c:v>52.465899999999998</c:v>
                </c:pt>
                <c:pt idx="111">
                  <c:v>52.9726</c:v>
                </c:pt>
                <c:pt idx="112">
                  <c:v>53.479799999999997</c:v>
                </c:pt>
                <c:pt idx="113">
                  <c:v>53.987399999999994</c:v>
                </c:pt>
                <c:pt idx="114">
                  <c:v>54.495400000000004</c:v>
                </c:pt>
                <c:pt idx="115">
                  <c:v>55.003899999999994</c:v>
                </c:pt>
                <c:pt idx="116">
                  <c:v>55.512799999999999</c:v>
                </c:pt>
                <c:pt idx="117">
                  <c:v>56.022099999999995</c:v>
                </c:pt>
                <c:pt idx="118">
                  <c:v>56.531699999999994</c:v>
                </c:pt>
                <c:pt idx="119">
                  <c:v>57.041699999999992</c:v>
                </c:pt>
                <c:pt idx="120">
                  <c:v>57.552000000000007</c:v>
                </c:pt>
                <c:pt idx="121">
                  <c:v>58.221999999999994</c:v>
                </c:pt>
                <c:pt idx="122">
                  <c:v>58.892000000000003</c:v>
                </c:pt>
                <c:pt idx="123">
                  <c:v>59.561699999999995</c:v>
                </c:pt>
                <c:pt idx="124">
                  <c:v>60.231000000000002</c:v>
                </c:pt>
                <c:pt idx="125">
                  <c:v>60.899899999999995</c:v>
                </c:pt>
                <c:pt idx="126">
                  <c:v>61.568100000000001</c:v>
                </c:pt>
                <c:pt idx="127">
                  <c:v>62.235399999999998</c:v>
                </c:pt>
                <c:pt idx="128">
                  <c:v>62.901600000000002</c:v>
                </c:pt>
                <c:pt idx="129">
                  <c:v>63.566699999999997</c:v>
                </c:pt>
                <c:pt idx="130">
                  <c:v>64.230400000000003</c:v>
                </c:pt>
                <c:pt idx="131">
                  <c:v>64.892700000000005</c:v>
                </c:pt>
                <c:pt idx="132">
                  <c:v>65.553399999999996</c:v>
                </c:pt>
                <c:pt idx="133">
                  <c:v>66.212400000000002</c:v>
                </c:pt>
                <c:pt idx="134">
                  <c:v>66.869500000000002</c:v>
                </c:pt>
                <c:pt idx="135">
                  <c:v>67.52470000000001</c:v>
                </c:pt>
                <c:pt idx="136">
                  <c:v>68.177800000000005</c:v>
                </c:pt>
                <c:pt idx="137">
                  <c:v>68.828299999999999</c:v>
                </c:pt>
                <c:pt idx="138">
                  <c:v>69.475999999999999</c:v>
                </c:pt>
                <c:pt idx="139">
                  <c:v>70.120899999999992</c:v>
                </c:pt>
                <c:pt idx="140">
                  <c:v>70.762699999999995</c:v>
                </c:pt>
                <c:pt idx="141">
                  <c:v>71.401499999999999</c:v>
                </c:pt>
                <c:pt idx="142">
                  <c:v>72.036999999999992</c:v>
                </c:pt>
                <c:pt idx="143">
                  <c:v>72.669200000000004</c:v>
                </c:pt>
                <c:pt idx="144">
                  <c:v>73.297899999999998</c:v>
                </c:pt>
                <c:pt idx="145">
                  <c:v>73.923199999999994</c:v>
                </c:pt>
                <c:pt idx="146">
                  <c:v>74.544699999999992</c:v>
                </c:pt>
                <c:pt idx="147">
                  <c:v>75.161799999999999</c:v>
                </c:pt>
                <c:pt idx="148">
                  <c:v>75.774300000000011</c:v>
                </c:pt>
                <c:pt idx="149">
                  <c:v>76.382199999999997</c:v>
                </c:pt>
                <c:pt idx="150">
                  <c:v>76.985299999999995</c:v>
                </c:pt>
                <c:pt idx="151">
                  <c:v>77.58359999999999</c:v>
                </c:pt>
                <c:pt idx="152">
                  <c:v>78.176900000000003</c:v>
                </c:pt>
                <c:pt idx="153">
                  <c:v>78.765300000000011</c:v>
                </c:pt>
                <c:pt idx="154">
                  <c:v>79.348500000000001</c:v>
                </c:pt>
                <c:pt idx="155">
                  <c:v>79.926699999999997</c:v>
                </c:pt>
                <c:pt idx="156">
                  <c:v>80.49969999999999</c:v>
                </c:pt>
                <c:pt idx="157">
                  <c:v>81.066400000000002</c:v>
                </c:pt>
                <c:pt idx="158">
                  <c:v>81.626900000000006</c:v>
                </c:pt>
                <c:pt idx="159">
                  <c:v>82.180999999999997</c:v>
                </c:pt>
                <c:pt idx="160">
                  <c:v>82.728800000000007</c:v>
                </c:pt>
                <c:pt idx="161">
                  <c:v>83.270299999999992</c:v>
                </c:pt>
                <c:pt idx="162">
                  <c:v>83.805300000000003</c:v>
                </c:pt>
                <c:pt idx="163">
                  <c:v>84.334000000000003</c:v>
                </c:pt>
                <c:pt idx="164">
                  <c:v>84.856200000000001</c:v>
                </c:pt>
                <c:pt idx="165">
                  <c:v>85.372</c:v>
                </c:pt>
                <c:pt idx="166">
                  <c:v>85.881399999999999</c:v>
                </c:pt>
                <c:pt idx="167">
                  <c:v>86.384399999999999</c:v>
                </c:pt>
                <c:pt idx="168">
                  <c:v>86.881</c:v>
                </c:pt>
                <c:pt idx="169">
                  <c:v>87.371099999999998</c:v>
                </c:pt>
                <c:pt idx="170">
                  <c:v>87.854900000000001</c:v>
                </c:pt>
                <c:pt idx="171">
                  <c:v>88.332300000000004</c:v>
                </c:pt>
                <c:pt idx="172">
                  <c:v>88.803600000000003</c:v>
                </c:pt>
                <c:pt idx="173">
                  <c:v>89.268499999999989</c:v>
                </c:pt>
                <c:pt idx="174">
                  <c:v>89.727400000000003</c:v>
                </c:pt>
                <c:pt idx="175">
                  <c:v>90.180199999999999</c:v>
                </c:pt>
                <c:pt idx="176">
                  <c:v>90.626900000000006</c:v>
                </c:pt>
                <c:pt idx="177">
                  <c:v>91.066000000000003</c:v>
                </c:pt>
                <c:pt idx="178">
                  <c:v>91.497500000000002</c:v>
                </c:pt>
                <c:pt idx="179">
                  <c:v>91.921599999999998</c:v>
                </c:pt>
                <c:pt idx="180">
                  <c:v>92.33829999999999</c:v>
                </c:pt>
                <c:pt idx="181">
                  <c:v>92.747799999999998</c:v>
                </c:pt>
                <c:pt idx="182">
                  <c:v>93.150300000000001</c:v>
                </c:pt>
                <c:pt idx="183">
                  <c:v>93.545900000000003</c:v>
                </c:pt>
                <c:pt idx="184">
                  <c:v>93.934700000000007</c:v>
                </c:pt>
                <c:pt idx="185">
                  <c:v>94.316900000000004</c:v>
                </c:pt>
                <c:pt idx="186">
                  <c:v>94.692700000000002</c:v>
                </c:pt>
                <c:pt idx="187">
                  <c:v>95.056300000000007</c:v>
                </c:pt>
                <c:pt idx="188">
                  <c:v>95.40809999999999</c:v>
                </c:pt>
                <c:pt idx="189">
                  <c:v>95.7483</c:v>
                </c:pt>
                <c:pt idx="190">
                  <c:v>96.077500000000001</c:v>
                </c:pt>
                <c:pt idx="191">
                  <c:v>96.396000000000001</c:v>
                </c:pt>
                <c:pt idx="192">
                  <c:v>96.704100000000011</c:v>
                </c:pt>
                <c:pt idx="193">
                  <c:v>97.002299999999991</c:v>
                </c:pt>
                <c:pt idx="194">
                  <c:v>97.290900000000008</c:v>
                </c:pt>
                <c:pt idx="195">
                  <c:v>97.570300000000003</c:v>
                </c:pt>
                <c:pt idx="196">
                  <c:v>97.840899999999991</c:v>
                </c:pt>
                <c:pt idx="197">
                  <c:v>98.095600000000005</c:v>
                </c:pt>
                <c:pt idx="198">
                  <c:v>98.335300000000004</c:v>
                </c:pt>
                <c:pt idx="199">
                  <c:v>98.560599999999994</c:v>
                </c:pt>
                <c:pt idx="200">
                  <c:v>98.772400000000005</c:v>
                </c:pt>
                <c:pt idx="201">
                  <c:v>98.97120000000001</c:v>
                </c:pt>
                <c:pt idx="202">
                  <c:v>99.157899999999998</c:v>
                </c:pt>
                <c:pt idx="203">
                  <c:v>99.332899999999995</c:v>
                </c:pt>
                <c:pt idx="204">
                  <c:v>99.497</c:v>
                </c:pt>
                <c:pt idx="205">
                  <c:v>99.65079999999999</c:v>
                </c:pt>
                <c:pt idx="206">
                  <c:v>99.794799999999995</c:v>
                </c:pt>
                <c:pt idx="207">
                  <c:v>99.927700000000002</c:v>
                </c:pt>
                <c:pt idx="208">
                  <c:v>100.05</c:v>
                </c:pt>
                <c:pt idx="209">
                  <c:v>100.163</c:v>
                </c:pt>
                <c:pt idx="210">
                  <c:v>100.26600000000001</c:v>
                </c:pt>
                <c:pt idx="211">
                  <c:v>100.36099999999999</c:v>
                </c:pt>
                <c:pt idx="212">
                  <c:v>100.447</c:v>
                </c:pt>
                <c:pt idx="213">
                  <c:v>100.52499999999999</c:v>
                </c:pt>
                <c:pt idx="214">
                  <c:v>100.59700000000001</c:v>
                </c:pt>
                <c:pt idx="215">
                  <c:v>100.661</c:v>
                </c:pt>
                <c:pt idx="216">
                  <c:v>100.72099999999999</c:v>
                </c:pt>
                <c:pt idx="217">
                  <c:v>100.776</c:v>
                </c:pt>
                <c:pt idx="218">
                  <c:v>100.827</c:v>
                </c:pt>
                <c:pt idx="219">
                  <c:v>100.874</c:v>
                </c:pt>
                <c:pt idx="220">
                  <c:v>100.91699999999999</c:v>
                </c:pt>
                <c:pt idx="221">
                  <c:v>100.95700000000001</c:v>
                </c:pt>
                <c:pt idx="222">
                  <c:v>100.99299999999999</c:v>
                </c:pt>
                <c:pt idx="223">
                  <c:v>101.026</c:v>
                </c:pt>
                <c:pt idx="224">
                  <c:v>101.057</c:v>
                </c:pt>
                <c:pt idx="225">
                  <c:v>101.084</c:v>
                </c:pt>
                <c:pt idx="226">
                  <c:v>101.11000000000001</c:v>
                </c:pt>
                <c:pt idx="227">
                  <c:v>101.13399999999999</c:v>
                </c:pt>
                <c:pt idx="228">
                  <c:v>101.15600000000001</c:v>
                </c:pt>
                <c:pt idx="229">
                  <c:v>101.176</c:v>
                </c:pt>
                <c:pt idx="230">
                  <c:v>101.194</c:v>
                </c:pt>
                <c:pt idx="231">
                  <c:v>101.21100000000001</c:v>
                </c:pt>
                <c:pt idx="232">
                  <c:v>101.227</c:v>
                </c:pt>
                <c:pt idx="233">
                  <c:v>101.242</c:v>
                </c:pt>
                <c:pt idx="234">
                  <c:v>101.25500000000001</c:v>
                </c:pt>
                <c:pt idx="235">
                  <c:v>101.267</c:v>
                </c:pt>
                <c:pt idx="236">
                  <c:v>101.27800000000001</c:v>
                </c:pt>
                <c:pt idx="237">
                  <c:v>101.288</c:v>
                </c:pt>
                <c:pt idx="238">
                  <c:v>101.298</c:v>
                </c:pt>
                <c:pt idx="239">
                  <c:v>101.30600000000001</c:v>
                </c:pt>
                <c:pt idx="240">
                  <c:v>101.31399999999999</c:v>
                </c:pt>
                <c:pt idx="241">
                  <c:v>101.322</c:v>
                </c:pt>
                <c:pt idx="242">
                  <c:v>101.328</c:v>
                </c:pt>
                <c:pt idx="243">
                  <c:v>101.33399999999999</c:v>
                </c:pt>
                <c:pt idx="244">
                  <c:v>101.34</c:v>
                </c:pt>
                <c:pt idx="245">
                  <c:v>101.345</c:v>
                </c:pt>
                <c:pt idx="246">
                  <c:v>101.349</c:v>
                </c:pt>
                <c:pt idx="247">
                  <c:v>101.35400000000001</c:v>
                </c:pt>
                <c:pt idx="248">
                  <c:v>101.35799999999999</c:v>
                </c:pt>
                <c:pt idx="249">
                  <c:v>101.36099999999999</c:v>
                </c:pt>
                <c:pt idx="250">
                  <c:v>101.36499999999999</c:v>
                </c:pt>
                <c:pt idx="251">
                  <c:v>101.36799999999999</c:v>
                </c:pt>
                <c:pt idx="252">
                  <c:v>101.37100000000001</c:v>
                </c:pt>
                <c:pt idx="253">
                  <c:v>101.373</c:v>
                </c:pt>
                <c:pt idx="254">
                  <c:v>101.376</c:v>
                </c:pt>
                <c:pt idx="255">
                  <c:v>101.37799999999999</c:v>
                </c:pt>
                <c:pt idx="256">
                  <c:v>101.38000000000001</c:v>
                </c:pt>
                <c:pt idx="257">
                  <c:v>101.38199999999999</c:v>
                </c:pt>
                <c:pt idx="258">
                  <c:v>101.383</c:v>
                </c:pt>
                <c:pt idx="259">
                  <c:v>101.38499999999999</c:v>
                </c:pt>
                <c:pt idx="260">
                  <c:v>101.387</c:v>
                </c:pt>
                <c:pt idx="261">
                  <c:v>101.38799999999999</c:v>
                </c:pt>
                <c:pt idx="262">
                  <c:v>101.389</c:v>
                </c:pt>
                <c:pt idx="263">
                  <c:v>101.39100000000001</c:v>
                </c:pt>
                <c:pt idx="264">
                  <c:v>101.392</c:v>
                </c:pt>
                <c:pt idx="265">
                  <c:v>101.393</c:v>
                </c:pt>
                <c:pt idx="266">
                  <c:v>101.39400000000001</c:v>
                </c:pt>
                <c:pt idx="267">
                  <c:v>101.395</c:v>
                </c:pt>
                <c:pt idx="268">
                  <c:v>101.396</c:v>
                </c:pt>
                <c:pt idx="269">
                  <c:v>101.396</c:v>
                </c:pt>
                <c:pt idx="270">
                  <c:v>101.39700000000001</c:v>
                </c:pt>
                <c:pt idx="271">
                  <c:v>101.39800000000001</c:v>
                </c:pt>
                <c:pt idx="272">
                  <c:v>101.39800000000001</c:v>
                </c:pt>
                <c:pt idx="273">
                  <c:v>101.399</c:v>
                </c:pt>
                <c:pt idx="274">
                  <c:v>101.4</c:v>
                </c:pt>
                <c:pt idx="275">
                  <c:v>101.4</c:v>
                </c:pt>
                <c:pt idx="276">
                  <c:v>101.40100000000001</c:v>
                </c:pt>
                <c:pt idx="277">
                  <c:v>101.40100000000001</c:v>
                </c:pt>
                <c:pt idx="278">
                  <c:v>101.40100000000001</c:v>
                </c:pt>
                <c:pt idx="279">
                  <c:v>101.40199999999999</c:v>
                </c:pt>
                <c:pt idx="280">
                  <c:v>101.40199999999999</c:v>
                </c:pt>
                <c:pt idx="281">
                  <c:v>101.40199999999999</c:v>
                </c:pt>
                <c:pt idx="282">
                  <c:v>101.40299999999999</c:v>
                </c:pt>
                <c:pt idx="283">
                  <c:v>101.40299999999999</c:v>
                </c:pt>
                <c:pt idx="284">
                  <c:v>101.40299999999999</c:v>
                </c:pt>
                <c:pt idx="285">
                  <c:v>101.40400000000001</c:v>
                </c:pt>
                <c:pt idx="286">
                  <c:v>101.40400000000001</c:v>
                </c:pt>
                <c:pt idx="287">
                  <c:v>101.40400000000001</c:v>
                </c:pt>
                <c:pt idx="288">
                  <c:v>101.40400000000001</c:v>
                </c:pt>
                <c:pt idx="289">
                  <c:v>101.40400000000001</c:v>
                </c:pt>
                <c:pt idx="290">
                  <c:v>101.40499999999999</c:v>
                </c:pt>
                <c:pt idx="291">
                  <c:v>101.40499999999999</c:v>
                </c:pt>
                <c:pt idx="292">
                  <c:v>101.40499999999999</c:v>
                </c:pt>
                <c:pt idx="293">
                  <c:v>101.40499999999999</c:v>
                </c:pt>
                <c:pt idx="294">
                  <c:v>101.40499999999999</c:v>
                </c:pt>
                <c:pt idx="295">
                  <c:v>101.40499999999999</c:v>
                </c:pt>
                <c:pt idx="296">
                  <c:v>101.40599999999999</c:v>
                </c:pt>
                <c:pt idx="297">
                  <c:v>101.40599999999999</c:v>
                </c:pt>
                <c:pt idx="298">
                  <c:v>101.40599999999999</c:v>
                </c:pt>
                <c:pt idx="299">
                  <c:v>101.40599999999999</c:v>
                </c:pt>
                <c:pt idx="300">
                  <c:v>101.40599999999999</c:v>
                </c:pt>
                <c:pt idx="301">
                  <c:v>101.40599999999999</c:v>
                </c:pt>
                <c:pt idx="302">
                  <c:v>101.40599999999999</c:v>
                </c:pt>
                <c:pt idx="303">
                  <c:v>101.40599999999999</c:v>
                </c:pt>
                <c:pt idx="304">
                  <c:v>101.40599999999999</c:v>
                </c:pt>
                <c:pt idx="305">
                  <c:v>101.40599999999999</c:v>
                </c:pt>
                <c:pt idx="306">
                  <c:v>101.40599999999999</c:v>
                </c:pt>
                <c:pt idx="307">
                  <c:v>101.40599999999999</c:v>
                </c:pt>
                <c:pt idx="308">
                  <c:v>101.40599999999999</c:v>
                </c:pt>
                <c:pt idx="309">
                  <c:v>101.407</c:v>
                </c:pt>
                <c:pt idx="310">
                  <c:v>101.407</c:v>
                </c:pt>
                <c:pt idx="311">
                  <c:v>101.407</c:v>
                </c:pt>
                <c:pt idx="312">
                  <c:v>101.407</c:v>
                </c:pt>
                <c:pt idx="313">
                  <c:v>101.407</c:v>
                </c:pt>
                <c:pt idx="314">
                  <c:v>101.407</c:v>
                </c:pt>
                <c:pt idx="315">
                  <c:v>101.407</c:v>
                </c:pt>
                <c:pt idx="316">
                  <c:v>101.407</c:v>
                </c:pt>
                <c:pt idx="317">
                  <c:v>101.407</c:v>
                </c:pt>
                <c:pt idx="318">
                  <c:v>101.407</c:v>
                </c:pt>
                <c:pt idx="319">
                  <c:v>101.407</c:v>
                </c:pt>
                <c:pt idx="320">
                  <c:v>101.407</c:v>
                </c:pt>
                <c:pt idx="321">
                  <c:v>101.407</c:v>
                </c:pt>
                <c:pt idx="322">
                  <c:v>101.407</c:v>
                </c:pt>
                <c:pt idx="323">
                  <c:v>101.407</c:v>
                </c:pt>
                <c:pt idx="324">
                  <c:v>101.407</c:v>
                </c:pt>
                <c:pt idx="325">
                  <c:v>101.407</c:v>
                </c:pt>
                <c:pt idx="326">
                  <c:v>101.407</c:v>
                </c:pt>
                <c:pt idx="327">
                  <c:v>101.407</c:v>
                </c:pt>
                <c:pt idx="328">
                  <c:v>101.407</c:v>
                </c:pt>
                <c:pt idx="329">
                  <c:v>101.407</c:v>
                </c:pt>
                <c:pt idx="330">
                  <c:v>101.407</c:v>
                </c:pt>
                <c:pt idx="331">
                  <c:v>101.407</c:v>
                </c:pt>
                <c:pt idx="332">
                  <c:v>101.407</c:v>
                </c:pt>
                <c:pt idx="333">
                  <c:v>101.407</c:v>
                </c:pt>
                <c:pt idx="334">
                  <c:v>101.407</c:v>
                </c:pt>
                <c:pt idx="335">
                  <c:v>101.407</c:v>
                </c:pt>
                <c:pt idx="336">
                  <c:v>101.407</c:v>
                </c:pt>
                <c:pt idx="337">
                  <c:v>101.407</c:v>
                </c:pt>
                <c:pt idx="338">
                  <c:v>101.407</c:v>
                </c:pt>
                <c:pt idx="339">
                  <c:v>101.407</c:v>
                </c:pt>
                <c:pt idx="340">
                  <c:v>101.407</c:v>
                </c:pt>
                <c:pt idx="341">
                  <c:v>101.407</c:v>
                </c:pt>
                <c:pt idx="342">
                  <c:v>101.407</c:v>
                </c:pt>
                <c:pt idx="343">
                  <c:v>101.407</c:v>
                </c:pt>
                <c:pt idx="344">
                  <c:v>101.407</c:v>
                </c:pt>
                <c:pt idx="345">
                  <c:v>101.407</c:v>
                </c:pt>
                <c:pt idx="346">
                  <c:v>101.407</c:v>
                </c:pt>
                <c:pt idx="347">
                  <c:v>101.407</c:v>
                </c:pt>
                <c:pt idx="348">
                  <c:v>101.407</c:v>
                </c:pt>
                <c:pt idx="349">
                  <c:v>101.407</c:v>
                </c:pt>
                <c:pt idx="350">
                  <c:v>101.407</c:v>
                </c:pt>
                <c:pt idx="351">
                  <c:v>101.407</c:v>
                </c:pt>
                <c:pt idx="352">
                  <c:v>101.407</c:v>
                </c:pt>
                <c:pt idx="353">
                  <c:v>101.407</c:v>
                </c:pt>
                <c:pt idx="354">
                  <c:v>101.407</c:v>
                </c:pt>
                <c:pt idx="355">
                  <c:v>101.407</c:v>
                </c:pt>
                <c:pt idx="356">
                  <c:v>101.407</c:v>
                </c:pt>
                <c:pt idx="357">
                  <c:v>101.407</c:v>
                </c:pt>
                <c:pt idx="358">
                  <c:v>101.407</c:v>
                </c:pt>
                <c:pt idx="359">
                  <c:v>101.407</c:v>
                </c:pt>
                <c:pt idx="360">
                  <c:v>101.407</c:v>
                </c:pt>
                <c:pt idx="361">
                  <c:v>101.407</c:v>
                </c:pt>
                <c:pt idx="362">
                  <c:v>101.407</c:v>
                </c:pt>
                <c:pt idx="363">
                  <c:v>101.407</c:v>
                </c:pt>
                <c:pt idx="364">
                  <c:v>101.407</c:v>
                </c:pt>
                <c:pt idx="365">
                  <c:v>101.407</c:v>
                </c:pt>
                <c:pt idx="366">
                  <c:v>101.407</c:v>
                </c:pt>
                <c:pt idx="367">
                  <c:v>101.407</c:v>
                </c:pt>
                <c:pt idx="368">
                  <c:v>101.407</c:v>
                </c:pt>
                <c:pt idx="369">
                  <c:v>101.407</c:v>
                </c:pt>
                <c:pt idx="370">
                  <c:v>101.407</c:v>
                </c:pt>
                <c:pt idx="371">
                  <c:v>101.407</c:v>
                </c:pt>
                <c:pt idx="372">
                  <c:v>101.407</c:v>
                </c:pt>
                <c:pt idx="373">
                  <c:v>101.407</c:v>
                </c:pt>
                <c:pt idx="374">
                  <c:v>101.407</c:v>
                </c:pt>
                <c:pt idx="375">
                  <c:v>101.407</c:v>
                </c:pt>
                <c:pt idx="376">
                  <c:v>101.407</c:v>
                </c:pt>
                <c:pt idx="377">
                  <c:v>101.407</c:v>
                </c:pt>
                <c:pt idx="378">
                  <c:v>101.407</c:v>
                </c:pt>
                <c:pt idx="379">
                  <c:v>101.407</c:v>
                </c:pt>
                <c:pt idx="380">
                  <c:v>101.407</c:v>
                </c:pt>
                <c:pt idx="381">
                  <c:v>101.407</c:v>
                </c:pt>
                <c:pt idx="382">
                  <c:v>101.407</c:v>
                </c:pt>
                <c:pt idx="383">
                  <c:v>101.407</c:v>
                </c:pt>
                <c:pt idx="384">
                  <c:v>101.407</c:v>
                </c:pt>
                <c:pt idx="385">
                  <c:v>101.407</c:v>
                </c:pt>
                <c:pt idx="386">
                  <c:v>101.407</c:v>
                </c:pt>
                <c:pt idx="387">
                  <c:v>101.407</c:v>
                </c:pt>
                <c:pt idx="388">
                  <c:v>101.407</c:v>
                </c:pt>
                <c:pt idx="389">
                  <c:v>101.407</c:v>
                </c:pt>
                <c:pt idx="390">
                  <c:v>101.407</c:v>
                </c:pt>
                <c:pt idx="391">
                  <c:v>101.407</c:v>
                </c:pt>
                <c:pt idx="392">
                  <c:v>101.407</c:v>
                </c:pt>
                <c:pt idx="393">
                  <c:v>101.407</c:v>
                </c:pt>
                <c:pt idx="394">
                  <c:v>101.407</c:v>
                </c:pt>
                <c:pt idx="395">
                  <c:v>101.407</c:v>
                </c:pt>
                <c:pt idx="396">
                  <c:v>101.407</c:v>
                </c:pt>
                <c:pt idx="397">
                  <c:v>101.407</c:v>
                </c:pt>
                <c:pt idx="398">
                  <c:v>101.407</c:v>
                </c:pt>
                <c:pt idx="399">
                  <c:v>101.407</c:v>
                </c:pt>
                <c:pt idx="400">
                  <c:v>101.407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173632"/>
        <c:axId val="263170688"/>
      </c:scatterChart>
      <c:valAx>
        <c:axId val="263173632"/>
        <c:scaling>
          <c:orientation val="minMax"/>
        </c:scaling>
        <c:delete val="0"/>
        <c:axPos val="b"/>
        <c:numFmt formatCode="0.000%" sourceLinked="1"/>
        <c:majorTickMark val="out"/>
        <c:minorTickMark val="none"/>
        <c:tickLblPos val="nextTo"/>
        <c:crossAx val="263170688"/>
        <c:crosses val="autoZero"/>
        <c:crossBetween val="midCat"/>
      </c:valAx>
      <c:valAx>
        <c:axId val="263170688"/>
        <c:scaling>
          <c:orientation val="minMax"/>
        </c:scaling>
        <c:delete val="0"/>
        <c:axPos val="l"/>
        <c:majorGridlines/>
        <c:numFmt formatCode="_-* #,##0.0000_-;\-* #,##0.0000_-;_-* &quot;-&quot;_-;_-@_-" sourceLinked="1"/>
        <c:majorTickMark val="out"/>
        <c:minorTickMark val="none"/>
        <c:tickLblPos val="nextTo"/>
        <c:crossAx val="2631736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uold!$H$1</c:f>
              <c:strCache>
                <c:ptCount val="1"/>
                <c:pt idx="0">
                  <c:v>0.5% $gamma</c:v>
                </c:pt>
              </c:strCache>
            </c:strRef>
          </c:tx>
          <c:marker>
            <c:symbol val="none"/>
          </c:marker>
          <c:xVal>
            <c:numRef>
              <c:f>uold!$B$2:$B$402</c:f>
              <c:numCache>
                <c:formatCode>0.000%</c:formatCode>
                <c:ptCount val="401"/>
                <c:pt idx="0">
                  <c:v>0</c:v>
                </c:pt>
                <c:pt idx="1">
                  <c:v>4.9999999999999992E-3</c:v>
                </c:pt>
                <c:pt idx="2">
                  <c:v>9.9999999999999985E-3</c:v>
                </c:pt>
                <c:pt idx="3">
                  <c:v>1.4999999999999999E-2</c:v>
                </c:pt>
                <c:pt idx="4">
                  <c:v>1.9999999999999997E-2</c:v>
                </c:pt>
                <c:pt idx="5">
                  <c:v>2.4999999999999998E-2</c:v>
                </c:pt>
                <c:pt idx="6">
                  <c:v>0.03</c:v>
                </c:pt>
                <c:pt idx="7">
                  <c:v>3.4999999999999996E-2</c:v>
                </c:pt>
                <c:pt idx="8">
                  <c:v>3.9999999999999994E-2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5.5E-2</c:v>
                </c:pt>
                <c:pt idx="12">
                  <c:v>0.06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7.9999999999999988E-2</c:v>
                </c:pt>
                <c:pt idx="17">
                  <c:v>8.4999999999999992E-2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9.9999999999999992E-2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0.12999999999999998</c:v>
                </c:pt>
                <c:pt idx="27">
                  <c:v>0.13499999999999998</c:v>
                </c:pt>
                <c:pt idx="28">
                  <c:v>0.13999999999999999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0.15499999999999997</c:v>
                </c:pt>
                <c:pt idx="32">
                  <c:v>0.15999999999999998</c:v>
                </c:pt>
                <c:pt idx="33">
                  <c:v>0.16499999999999998</c:v>
                </c:pt>
                <c:pt idx="34">
                  <c:v>0.16999999999999998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0.19499999999999998</c:v>
                </c:pt>
                <c:pt idx="40">
                  <c:v>0.19999999999999998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0.21499999999999997</c:v>
                </c:pt>
                <c:pt idx="44">
                  <c:v>0.22</c:v>
                </c:pt>
                <c:pt idx="45">
                  <c:v>0.22499999999999998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0.24499999999999997</c:v>
                </c:pt>
                <c:pt idx="50">
                  <c:v>0.25</c:v>
                </c:pt>
                <c:pt idx="51">
                  <c:v>0.255</c:v>
                </c:pt>
                <c:pt idx="52">
                  <c:v>0.25999999999999995</c:v>
                </c:pt>
                <c:pt idx="53">
                  <c:v>0.26499999999999996</c:v>
                </c:pt>
                <c:pt idx="54">
                  <c:v>0.26999999999999996</c:v>
                </c:pt>
                <c:pt idx="55">
                  <c:v>0.27499999999999997</c:v>
                </c:pt>
                <c:pt idx="56">
                  <c:v>0.27999999999999997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0.30999999999999994</c:v>
                </c:pt>
                <c:pt idx="63">
                  <c:v>0.315</c:v>
                </c:pt>
                <c:pt idx="64">
                  <c:v>0.31999999999999995</c:v>
                </c:pt>
                <c:pt idx="65">
                  <c:v>0.32500000000000001</c:v>
                </c:pt>
                <c:pt idx="66">
                  <c:v>0.32999999999999996</c:v>
                </c:pt>
                <c:pt idx="67">
                  <c:v>0.33500000000000002</c:v>
                </c:pt>
                <c:pt idx="68">
                  <c:v>0.3400006729022273</c:v>
                </c:pt>
                <c:pt idx="69">
                  <c:v>0.34500033645111361</c:v>
                </c:pt>
                <c:pt idx="70">
                  <c:v>0.35</c:v>
                </c:pt>
                <c:pt idx="71">
                  <c:v>0.35499966354888635</c:v>
                </c:pt>
                <c:pt idx="72">
                  <c:v>0.35999932709777266</c:v>
                </c:pt>
                <c:pt idx="73">
                  <c:v>0.36499899064665903</c:v>
                </c:pt>
                <c:pt idx="74">
                  <c:v>0.36999865419554534</c:v>
                </c:pt>
                <c:pt idx="75">
                  <c:v>0.37499831774443165</c:v>
                </c:pt>
                <c:pt idx="76">
                  <c:v>0.3800013458044546</c:v>
                </c:pt>
                <c:pt idx="77">
                  <c:v>0.38500100935334097</c:v>
                </c:pt>
                <c:pt idx="78">
                  <c:v>0.39000067290222729</c:v>
                </c:pt>
                <c:pt idx="79">
                  <c:v>0.3950003364511136</c:v>
                </c:pt>
                <c:pt idx="80">
                  <c:v>0.39999999999999997</c:v>
                </c:pt>
                <c:pt idx="81">
                  <c:v>0.40499966354888628</c:v>
                </c:pt>
                <c:pt idx="82">
                  <c:v>0.40999932709777265</c:v>
                </c:pt>
                <c:pt idx="83">
                  <c:v>0.41499899064665902</c:v>
                </c:pt>
                <c:pt idx="84">
                  <c:v>0.41999865419554533</c:v>
                </c:pt>
                <c:pt idx="85">
                  <c:v>0.4249983177444317</c:v>
                </c:pt>
                <c:pt idx="86">
                  <c:v>0.43000134580445459</c:v>
                </c:pt>
                <c:pt idx="87">
                  <c:v>0.43500100935334091</c:v>
                </c:pt>
                <c:pt idx="88">
                  <c:v>0.44000067290222722</c:v>
                </c:pt>
                <c:pt idx="89">
                  <c:v>0.44500033645111364</c:v>
                </c:pt>
                <c:pt idx="90">
                  <c:v>0.44999999999999996</c:v>
                </c:pt>
                <c:pt idx="91">
                  <c:v>0.45499966354888632</c:v>
                </c:pt>
                <c:pt idx="92">
                  <c:v>0.45999932709777264</c:v>
                </c:pt>
                <c:pt idx="93">
                  <c:v>0.46499899064665895</c:v>
                </c:pt>
                <c:pt idx="94">
                  <c:v>0.46999865419554537</c:v>
                </c:pt>
                <c:pt idx="95">
                  <c:v>0.47499831774443169</c:v>
                </c:pt>
                <c:pt idx="96">
                  <c:v>0.48000134580445458</c:v>
                </c:pt>
                <c:pt idx="97">
                  <c:v>0.4850010093533409</c:v>
                </c:pt>
                <c:pt idx="98">
                  <c:v>0.49000067290222726</c:v>
                </c:pt>
                <c:pt idx="99">
                  <c:v>0.49500033645111358</c:v>
                </c:pt>
                <c:pt idx="100">
                  <c:v>0.5</c:v>
                </c:pt>
                <c:pt idx="101">
                  <c:v>0.50499966354888626</c:v>
                </c:pt>
                <c:pt idx="102">
                  <c:v>0.50999932709777263</c:v>
                </c:pt>
                <c:pt idx="103">
                  <c:v>0.51499899064665899</c:v>
                </c:pt>
                <c:pt idx="104">
                  <c:v>0.51999865419554536</c:v>
                </c:pt>
                <c:pt idx="105">
                  <c:v>0.52499831774443162</c:v>
                </c:pt>
                <c:pt idx="106">
                  <c:v>0.53000134580445457</c:v>
                </c:pt>
                <c:pt idx="107">
                  <c:v>0.53500100935334094</c:v>
                </c:pt>
                <c:pt idx="108">
                  <c:v>0.5400006729022272</c:v>
                </c:pt>
                <c:pt idx="109">
                  <c:v>0.54500033645111368</c:v>
                </c:pt>
                <c:pt idx="110">
                  <c:v>0.54999999999999993</c:v>
                </c:pt>
                <c:pt idx="111">
                  <c:v>0.5549996635488863</c:v>
                </c:pt>
                <c:pt idx="112">
                  <c:v>0.55999932709777267</c:v>
                </c:pt>
                <c:pt idx="113">
                  <c:v>0.56499899064665904</c:v>
                </c:pt>
                <c:pt idx="114">
                  <c:v>0.5699986541955453</c:v>
                </c:pt>
                <c:pt idx="115">
                  <c:v>0.57499831774443166</c:v>
                </c:pt>
                <c:pt idx="116">
                  <c:v>0.58000134580445462</c:v>
                </c:pt>
                <c:pt idx="117">
                  <c:v>0.58500100935334087</c:v>
                </c:pt>
                <c:pt idx="118">
                  <c:v>0.59000067290222735</c:v>
                </c:pt>
                <c:pt idx="119">
                  <c:v>0.59500033645111361</c:v>
                </c:pt>
                <c:pt idx="120">
                  <c:v>0.6</c:v>
                </c:pt>
                <c:pt idx="121">
                  <c:v>0.60499966354888635</c:v>
                </c:pt>
                <c:pt idx="122">
                  <c:v>0.6099993270977726</c:v>
                </c:pt>
                <c:pt idx="123">
                  <c:v>0.61499899064665897</c:v>
                </c:pt>
                <c:pt idx="124">
                  <c:v>0.61999865419554534</c:v>
                </c:pt>
                <c:pt idx="125">
                  <c:v>0.62499831774443171</c:v>
                </c:pt>
                <c:pt idx="126">
                  <c:v>0.63000134580445455</c:v>
                </c:pt>
                <c:pt idx="127">
                  <c:v>0.63500100935334092</c:v>
                </c:pt>
                <c:pt idx="128">
                  <c:v>0.64000067290222729</c:v>
                </c:pt>
                <c:pt idx="129">
                  <c:v>0.64500033645111354</c:v>
                </c:pt>
                <c:pt idx="130">
                  <c:v>0.65</c:v>
                </c:pt>
                <c:pt idx="131">
                  <c:v>0.65499966354888628</c:v>
                </c:pt>
                <c:pt idx="132">
                  <c:v>0.65999932709777265</c:v>
                </c:pt>
                <c:pt idx="133">
                  <c:v>0.66499899064665902</c:v>
                </c:pt>
                <c:pt idx="134">
                  <c:v>0.66999865419554527</c:v>
                </c:pt>
                <c:pt idx="135">
                  <c:v>0.67499831774443164</c:v>
                </c:pt>
                <c:pt idx="136">
                  <c:v>0.68000134580445459</c:v>
                </c:pt>
                <c:pt idx="137">
                  <c:v>0.68500100935334096</c:v>
                </c:pt>
                <c:pt idx="138">
                  <c:v>0.69000067290222722</c:v>
                </c:pt>
                <c:pt idx="139">
                  <c:v>0.69500033645111359</c:v>
                </c:pt>
                <c:pt idx="140">
                  <c:v>0.7</c:v>
                </c:pt>
                <c:pt idx="141">
                  <c:v>0.70499966354888621</c:v>
                </c:pt>
                <c:pt idx="142">
                  <c:v>0.70999932709777269</c:v>
                </c:pt>
                <c:pt idx="143">
                  <c:v>0.71499899064665895</c:v>
                </c:pt>
                <c:pt idx="144">
                  <c:v>0.71999865419554532</c:v>
                </c:pt>
                <c:pt idx="145">
                  <c:v>0.72499831774443169</c:v>
                </c:pt>
                <c:pt idx="146">
                  <c:v>0.73000134580445453</c:v>
                </c:pt>
                <c:pt idx="147">
                  <c:v>0.7350010093533409</c:v>
                </c:pt>
                <c:pt idx="148">
                  <c:v>0.74000067290222726</c:v>
                </c:pt>
                <c:pt idx="149">
                  <c:v>0.74500033645111363</c:v>
                </c:pt>
                <c:pt idx="150">
                  <c:v>0.74999999999999989</c:v>
                </c:pt>
                <c:pt idx="151">
                  <c:v>0.75499966354888626</c:v>
                </c:pt>
                <c:pt idx="152">
                  <c:v>0.75999932709777263</c:v>
                </c:pt>
                <c:pt idx="153">
                  <c:v>0.76499899064665888</c:v>
                </c:pt>
                <c:pt idx="154">
                  <c:v>0.76999865419554536</c:v>
                </c:pt>
                <c:pt idx="155">
                  <c:v>0.77499831774443162</c:v>
                </c:pt>
                <c:pt idx="156">
                  <c:v>0.78000134580445457</c:v>
                </c:pt>
                <c:pt idx="157">
                  <c:v>0.78500100935334094</c:v>
                </c:pt>
                <c:pt idx="158">
                  <c:v>0.7900006729022272</c:v>
                </c:pt>
                <c:pt idx="159">
                  <c:v>0.79500033645111357</c:v>
                </c:pt>
                <c:pt idx="160">
                  <c:v>0.79999999999999993</c:v>
                </c:pt>
                <c:pt idx="161">
                  <c:v>0.8049996635488863</c:v>
                </c:pt>
                <c:pt idx="162">
                  <c:v>0.80999932709777256</c:v>
                </c:pt>
                <c:pt idx="163">
                  <c:v>0.81499899064665904</c:v>
                </c:pt>
                <c:pt idx="164">
                  <c:v>0.8199986541955453</c:v>
                </c:pt>
                <c:pt idx="165">
                  <c:v>0.82499831774443166</c:v>
                </c:pt>
                <c:pt idx="166">
                  <c:v>0.83000134580445462</c:v>
                </c:pt>
                <c:pt idx="167">
                  <c:v>0.83500100935334087</c:v>
                </c:pt>
                <c:pt idx="168">
                  <c:v>0.84000067290222724</c:v>
                </c:pt>
                <c:pt idx="169">
                  <c:v>0.84500033645111361</c:v>
                </c:pt>
                <c:pt idx="170">
                  <c:v>0.85</c:v>
                </c:pt>
                <c:pt idx="171">
                  <c:v>0.85499966354888624</c:v>
                </c:pt>
                <c:pt idx="172">
                  <c:v>0.8599993270977726</c:v>
                </c:pt>
                <c:pt idx="173">
                  <c:v>0.86499899064665908</c:v>
                </c:pt>
                <c:pt idx="174">
                  <c:v>0.86999865419554534</c:v>
                </c:pt>
                <c:pt idx="175">
                  <c:v>0.87499831774443171</c:v>
                </c:pt>
                <c:pt idx="176">
                  <c:v>0.88000134580445444</c:v>
                </c:pt>
                <c:pt idx="177">
                  <c:v>0.88500100935334092</c:v>
                </c:pt>
                <c:pt idx="178">
                  <c:v>0.89000067290222729</c:v>
                </c:pt>
                <c:pt idx="179">
                  <c:v>0.89500033645111354</c:v>
                </c:pt>
                <c:pt idx="180">
                  <c:v>0.89999999999999991</c:v>
                </c:pt>
                <c:pt idx="181">
                  <c:v>0.90499966354888617</c:v>
                </c:pt>
                <c:pt idx="182">
                  <c:v>0.90999932709777265</c:v>
                </c:pt>
                <c:pt idx="183">
                  <c:v>0.91499899064665902</c:v>
                </c:pt>
                <c:pt idx="184">
                  <c:v>0.91999865419554527</c:v>
                </c:pt>
                <c:pt idx="185">
                  <c:v>0.92499831774443164</c:v>
                </c:pt>
                <c:pt idx="186">
                  <c:v>0.93000134580445459</c:v>
                </c:pt>
                <c:pt idx="187">
                  <c:v>0.93500100935334096</c:v>
                </c:pt>
                <c:pt idx="188">
                  <c:v>0.94000067290222722</c:v>
                </c:pt>
                <c:pt idx="189">
                  <c:v>0.94500033645111359</c:v>
                </c:pt>
                <c:pt idx="190">
                  <c:v>0.94999999999999984</c:v>
                </c:pt>
                <c:pt idx="191">
                  <c:v>0.95499966354888632</c:v>
                </c:pt>
                <c:pt idx="192">
                  <c:v>0.95999932709777269</c:v>
                </c:pt>
                <c:pt idx="193">
                  <c:v>0.96499899064665895</c:v>
                </c:pt>
                <c:pt idx="194">
                  <c:v>0.96999865419554532</c:v>
                </c:pt>
                <c:pt idx="195">
                  <c:v>0.97499831774443158</c:v>
                </c:pt>
                <c:pt idx="196">
                  <c:v>0.98000134580445453</c:v>
                </c:pt>
                <c:pt idx="197">
                  <c:v>0.9850010093533409</c:v>
                </c:pt>
                <c:pt idx="198">
                  <c:v>0.99000067290222715</c:v>
                </c:pt>
                <c:pt idx="199">
                  <c:v>0.99500033645111352</c:v>
                </c:pt>
                <c:pt idx="200">
                  <c:v>1</c:v>
                </c:pt>
                <c:pt idx="201">
                  <c:v>1.0049996635488863</c:v>
                </c:pt>
                <c:pt idx="202">
                  <c:v>1.0099993270977725</c:v>
                </c:pt>
                <c:pt idx="203">
                  <c:v>1.014998990646659</c:v>
                </c:pt>
                <c:pt idx="204">
                  <c:v>1.0199986541955453</c:v>
                </c:pt>
                <c:pt idx="205">
                  <c:v>1.0249983177444315</c:v>
                </c:pt>
                <c:pt idx="206">
                  <c:v>1.0300013458044546</c:v>
                </c:pt>
                <c:pt idx="207">
                  <c:v>1.0350010093533408</c:v>
                </c:pt>
                <c:pt idx="208">
                  <c:v>1.0400006729022271</c:v>
                </c:pt>
                <c:pt idx="209">
                  <c:v>1.0450003364511136</c:v>
                </c:pt>
                <c:pt idx="210">
                  <c:v>1.05</c:v>
                </c:pt>
                <c:pt idx="211">
                  <c:v>1.0549996635488863</c:v>
                </c:pt>
                <c:pt idx="212">
                  <c:v>1.0599993270977726</c:v>
                </c:pt>
                <c:pt idx="213">
                  <c:v>1.0649989906466588</c:v>
                </c:pt>
                <c:pt idx="214">
                  <c:v>1.0699986541955453</c:v>
                </c:pt>
                <c:pt idx="215">
                  <c:v>1.0750016822555681</c:v>
                </c:pt>
                <c:pt idx="216">
                  <c:v>1.0800013458044544</c:v>
                </c:pt>
                <c:pt idx="217">
                  <c:v>1.0850010093533409</c:v>
                </c:pt>
                <c:pt idx="218">
                  <c:v>1.0900006729022274</c:v>
                </c:pt>
                <c:pt idx="219">
                  <c:v>1.0950003364511136</c:v>
                </c:pt>
                <c:pt idx="220">
                  <c:v>1.0999999999999999</c:v>
                </c:pt>
                <c:pt idx="221">
                  <c:v>1.1049996635488863</c:v>
                </c:pt>
                <c:pt idx="222">
                  <c:v>1.1099993270977726</c:v>
                </c:pt>
                <c:pt idx="223">
                  <c:v>1.1149989906466589</c:v>
                </c:pt>
                <c:pt idx="224">
                  <c:v>1.1199986541955453</c:v>
                </c:pt>
                <c:pt idx="225">
                  <c:v>1.1250016822555682</c:v>
                </c:pt>
                <c:pt idx="226">
                  <c:v>1.1300013458044544</c:v>
                </c:pt>
                <c:pt idx="227">
                  <c:v>1.1350010093533409</c:v>
                </c:pt>
                <c:pt idx="228">
                  <c:v>1.1400006729022272</c:v>
                </c:pt>
                <c:pt idx="229">
                  <c:v>1.1450003364511137</c:v>
                </c:pt>
                <c:pt idx="230">
                  <c:v>1.1499999999999999</c:v>
                </c:pt>
                <c:pt idx="231">
                  <c:v>1.1549996635488862</c:v>
                </c:pt>
                <c:pt idx="232">
                  <c:v>1.1599993270977724</c:v>
                </c:pt>
                <c:pt idx="233">
                  <c:v>1.1649989906466589</c:v>
                </c:pt>
                <c:pt idx="234">
                  <c:v>1.1699986541955454</c:v>
                </c:pt>
                <c:pt idx="235">
                  <c:v>1.175001682255568</c:v>
                </c:pt>
                <c:pt idx="236">
                  <c:v>1.1800013458044547</c:v>
                </c:pt>
                <c:pt idx="237">
                  <c:v>1.185001009353341</c:v>
                </c:pt>
                <c:pt idx="238">
                  <c:v>1.1900006729022272</c:v>
                </c:pt>
                <c:pt idx="239">
                  <c:v>1.1950003364511135</c:v>
                </c:pt>
                <c:pt idx="240">
                  <c:v>1.2</c:v>
                </c:pt>
                <c:pt idx="241">
                  <c:v>1.2049996635488862</c:v>
                </c:pt>
                <c:pt idx="242">
                  <c:v>1.2099993270977727</c:v>
                </c:pt>
                <c:pt idx="243">
                  <c:v>1.2149989906466589</c:v>
                </c:pt>
                <c:pt idx="244">
                  <c:v>1.2199986541955452</c:v>
                </c:pt>
                <c:pt idx="245">
                  <c:v>1.2250016822555683</c:v>
                </c:pt>
                <c:pt idx="246">
                  <c:v>1.2300013458044545</c:v>
                </c:pt>
                <c:pt idx="247">
                  <c:v>1.2350010093533408</c:v>
                </c:pt>
                <c:pt idx="248">
                  <c:v>1.2400006729022273</c:v>
                </c:pt>
                <c:pt idx="249">
                  <c:v>1.2450003364511135</c:v>
                </c:pt>
                <c:pt idx="250">
                  <c:v>1.2499999999999998</c:v>
                </c:pt>
                <c:pt idx="251">
                  <c:v>1.2549996635488863</c:v>
                </c:pt>
                <c:pt idx="252">
                  <c:v>1.2599993270977725</c:v>
                </c:pt>
                <c:pt idx="253">
                  <c:v>1.264998990646659</c:v>
                </c:pt>
                <c:pt idx="254">
                  <c:v>1.2699986541955453</c:v>
                </c:pt>
                <c:pt idx="255">
                  <c:v>1.2750016822555683</c:v>
                </c:pt>
                <c:pt idx="256">
                  <c:v>1.2800013458044546</c:v>
                </c:pt>
                <c:pt idx="257">
                  <c:v>1.2850010093533408</c:v>
                </c:pt>
                <c:pt idx="258">
                  <c:v>1.2900006729022271</c:v>
                </c:pt>
                <c:pt idx="259">
                  <c:v>1.2950003364511136</c:v>
                </c:pt>
                <c:pt idx="260">
                  <c:v>1.3</c:v>
                </c:pt>
                <c:pt idx="261">
                  <c:v>1.3049996635488863</c:v>
                </c:pt>
                <c:pt idx="262">
                  <c:v>1.3099993270977726</c:v>
                </c:pt>
                <c:pt idx="263">
                  <c:v>1.3149989906466588</c:v>
                </c:pt>
                <c:pt idx="264">
                  <c:v>1.3199986541955453</c:v>
                </c:pt>
                <c:pt idx="265">
                  <c:v>1.3250016822555681</c:v>
                </c:pt>
                <c:pt idx="266">
                  <c:v>1.3300013458044544</c:v>
                </c:pt>
                <c:pt idx="267">
                  <c:v>1.3350010093533409</c:v>
                </c:pt>
                <c:pt idx="268">
                  <c:v>1.3400006729022271</c:v>
                </c:pt>
                <c:pt idx="269">
                  <c:v>1.3450003364511136</c:v>
                </c:pt>
                <c:pt idx="270">
                  <c:v>1.3499999999999999</c:v>
                </c:pt>
                <c:pt idx="271">
                  <c:v>1.3549996635488863</c:v>
                </c:pt>
                <c:pt idx="272">
                  <c:v>1.3599993270977726</c:v>
                </c:pt>
                <c:pt idx="273">
                  <c:v>1.3649989906466589</c:v>
                </c:pt>
                <c:pt idx="274">
                  <c:v>1.3699986541955451</c:v>
                </c:pt>
                <c:pt idx="275">
                  <c:v>1.3750016822555682</c:v>
                </c:pt>
                <c:pt idx="276">
                  <c:v>1.3800013458044544</c:v>
                </c:pt>
                <c:pt idx="277">
                  <c:v>1.3850010093533407</c:v>
                </c:pt>
                <c:pt idx="278">
                  <c:v>1.3900006729022272</c:v>
                </c:pt>
                <c:pt idx="279">
                  <c:v>1.3950003364511137</c:v>
                </c:pt>
                <c:pt idx="280">
                  <c:v>1.4</c:v>
                </c:pt>
                <c:pt idx="281">
                  <c:v>1.4049996635488862</c:v>
                </c:pt>
                <c:pt idx="282">
                  <c:v>1.4099993270977724</c:v>
                </c:pt>
                <c:pt idx="283">
                  <c:v>1.4149989906466589</c:v>
                </c:pt>
                <c:pt idx="284">
                  <c:v>1.4199986541955454</c:v>
                </c:pt>
                <c:pt idx="285">
                  <c:v>1.425001682255568</c:v>
                </c:pt>
                <c:pt idx="286">
                  <c:v>1.4300013458044545</c:v>
                </c:pt>
                <c:pt idx="287">
                  <c:v>1.435001009353341</c:v>
                </c:pt>
                <c:pt idx="288">
                  <c:v>1.4400006729022272</c:v>
                </c:pt>
                <c:pt idx="289">
                  <c:v>1.4450003364511135</c:v>
                </c:pt>
                <c:pt idx="290">
                  <c:v>1.45</c:v>
                </c:pt>
                <c:pt idx="291">
                  <c:v>1.4549996635488862</c:v>
                </c:pt>
                <c:pt idx="292">
                  <c:v>1.4599993270977725</c:v>
                </c:pt>
                <c:pt idx="293">
                  <c:v>1.4649989906466589</c:v>
                </c:pt>
                <c:pt idx="294">
                  <c:v>1.4699986541955452</c:v>
                </c:pt>
                <c:pt idx="295">
                  <c:v>1.475001682255568</c:v>
                </c:pt>
                <c:pt idx="296">
                  <c:v>1.4800013458044545</c:v>
                </c:pt>
                <c:pt idx="297">
                  <c:v>1.4850010093533408</c:v>
                </c:pt>
                <c:pt idx="298">
                  <c:v>1.4900006729022273</c:v>
                </c:pt>
                <c:pt idx="299">
                  <c:v>1.4950003364511135</c:v>
                </c:pt>
                <c:pt idx="300">
                  <c:v>1.4999999999999998</c:v>
                </c:pt>
                <c:pt idx="301">
                  <c:v>1.504999663548886</c:v>
                </c:pt>
                <c:pt idx="302">
                  <c:v>1.5099993270977725</c:v>
                </c:pt>
                <c:pt idx="303">
                  <c:v>1.514998990646659</c:v>
                </c:pt>
                <c:pt idx="304">
                  <c:v>1.5199986541955453</c:v>
                </c:pt>
                <c:pt idx="305">
                  <c:v>1.5250016822555683</c:v>
                </c:pt>
                <c:pt idx="306">
                  <c:v>1.5300013458044546</c:v>
                </c:pt>
                <c:pt idx="307">
                  <c:v>1.5350010093533408</c:v>
                </c:pt>
                <c:pt idx="308">
                  <c:v>1.5400006729022271</c:v>
                </c:pt>
                <c:pt idx="309">
                  <c:v>1.5450003364511136</c:v>
                </c:pt>
                <c:pt idx="310">
                  <c:v>1.5499999999999998</c:v>
                </c:pt>
                <c:pt idx="311">
                  <c:v>1.5549996635488863</c:v>
                </c:pt>
                <c:pt idx="312">
                  <c:v>1.5599993270977726</c:v>
                </c:pt>
                <c:pt idx="313">
                  <c:v>1.5649989906466588</c:v>
                </c:pt>
                <c:pt idx="314">
                  <c:v>1.5699986541955453</c:v>
                </c:pt>
                <c:pt idx="315">
                  <c:v>1.5750016822555681</c:v>
                </c:pt>
                <c:pt idx="316">
                  <c:v>1.5800013458044544</c:v>
                </c:pt>
                <c:pt idx="317">
                  <c:v>1.5850010093533409</c:v>
                </c:pt>
                <c:pt idx="318">
                  <c:v>1.5900006729022271</c:v>
                </c:pt>
                <c:pt idx="319">
                  <c:v>1.5950003364511134</c:v>
                </c:pt>
                <c:pt idx="320">
                  <c:v>1.5999999999999999</c:v>
                </c:pt>
                <c:pt idx="321">
                  <c:v>1.6049996635488863</c:v>
                </c:pt>
                <c:pt idx="322">
                  <c:v>1.6099993270977726</c:v>
                </c:pt>
                <c:pt idx="323">
                  <c:v>1.6149989906466589</c:v>
                </c:pt>
                <c:pt idx="324">
                  <c:v>1.6199986541955451</c:v>
                </c:pt>
                <c:pt idx="325">
                  <c:v>1.6250016822555682</c:v>
                </c:pt>
                <c:pt idx="326">
                  <c:v>1.6300013458044544</c:v>
                </c:pt>
                <c:pt idx="327">
                  <c:v>1.6350010093533407</c:v>
                </c:pt>
                <c:pt idx="328">
                  <c:v>1.6400006729022272</c:v>
                </c:pt>
                <c:pt idx="329">
                  <c:v>1.6450003364511137</c:v>
                </c:pt>
                <c:pt idx="330">
                  <c:v>1.65</c:v>
                </c:pt>
                <c:pt idx="331">
                  <c:v>1.6549996635488862</c:v>
                </c:pt>
                <c:pt idx="332">
                  <c:v>1.6599993270977724</c:v>
                </c:pt>
                <c:pt idx="333">
                  <c:v>1.6649989906466589</c:v>
                </c:pt>
                <c:pt idx="334">
                  <c:v>1.6699986541955454</c:v>
                </c:pt>
                <c:pt idx="335">
                  <c:v>1.675001682255568</c:v>
                </c:pt>
                <c:pt idx="336">
                  <c:v>1.6800013458044545</c:v>
                </c:pt>
                <c:pt idx="337">
                  <c:v>1.6850010093533407</c:v>
                </c:pt>
                <c:pt idx="338">
                  <c:v>1.6900006729022272</c:v>
                </c:pt>
                <c:pt idx="339">
                  <c:v>1.6950003364511135</c:v>
                </c:pt>
                <c:pt idx="340">
                  <c:v>1.7</c:v>
                </c:pt>
                <c:pt idx="341">
                  <c:v>1.7049996635488862</c:v>
                </c:pt>
                <c:pt idx="342">
                  <c:v>1.7099993270977725</c:v>
                </c:pt>
                <c:pt idx="343">
                  <c:v>1.7149989906466589</c:v>
                </c:pt>
                <c:pt idx="344">
                  <c:v>1.7199986541955452</c:v>
                </c:pt>
                <c:pt idx="345">
                  <c:v>1.7250016822555683</c:v>
                </c:pt>
                <c:pt idx="346">
                  <c:v>1.7300013458044545</c:v>
                </c:pt>
                <c:pt idx="347">
                  <c:v>1.7350010093533408</c:v>
                </c:pt>
                <c:pt idx="348">
                  <c:v>1.7400006729022273</c:v>
                </c:pt>
                <c:pt idx="349">
                  <c:v>1.7450003364511135</c:v>
                </c:pt>
                <c:pt idx="350">
                  <c:v>1.7499999999999998</c:v>
                </c:pt>
                <c:pt idx="351">
                  <c:v>1.754999663548886</c:v>
                </c:pt>
                <c:pt idx="352">
                  <c:v>1.7599993270977725</c:v>
                </c:pt>
                <c:pt idx="353">
                  <c:v>1.7649989906466588</c:v>
                </c:pt>
                <c:pt idx="354">
                  <c:v>1.769998654195545</c:v>
                </c:pt>
                <c:pt idx="355">
                  <c:v>1.7750016822555683</c:v>
                </c:pt>
                <c:pt idx="356">
                  <c:v>1.7800013458044546</c:v>
                </c:pt>
                <c:pt idx="357">
                  <c:v>1.7850010093533408</c:v>
                </c:pt>
                <c:pt idx="358">
                  <c:v>1.7900006729022271</c:v>
                </c:pt>
                <c:pt idx="359">
                  <c:v>1.7950003364511136</c:v>
                </c:pt>
                <c:pt idx="360">
                  <c:v>1.7999999999999998</c:v>
                </c:pt>
                <c:pt idx="361">
                  <c:v>1.8049996635488861</c:v>
                </c:pt>
                <c:pt idx="362">
                  <c:v>1.8099993270977723</c:v>
                </c:pt>
                <c:pt idx="363">
                  <c:v>1.8149989906466588</c:v>
                </c:pt>
                <c:pt idx="364">
                  <c:v>1.8199986541955453</c:v>
                </c:pt>
                <c:pt idx="365">
                  <c:v>1.8250016822555681</c:v>
                </c:pt>
                <c:pt idx="366">
                  <c:v>1.8300013458044544</c:v>
                </c:pt>
                <c:pt idx="367">
                  <c:v>1.8350010093533409</c:v>
                </c:pt>
                <c:pt idx="368">
                  <c:v>1.8400006729022271</c:v>
                </c:pt>
                <c:pt idx="369">
                  <c:v>1.8450003364511134</c:v>
                </c:pt>
                <c:pt idx="370">
                  <c:v>1.8499999999999996</c:v>
                </c:pt>
                <c:pt idx="371">
                  <c:v>1.8549996635488861</c:v>
                </c:pt>
                <c:pt idx="372">
                  <c:v>1.8599993270977724</c:v>
                </c:pt>
                <c:pt idx="373">
                  <c:v>1.8649989906466591</c:v>
                </c:pt>
                <c:pt idx="374">
                  <c:v>1.8699986541955453</c:v>
                </c:pt>
                <c:pt idx="375">
                  <c:v>1.8750016822555682</c:v>
                </c:pt>
                <c:pt idx="376">
                  <c:v>1.8800013458044544</c:v>
                </c:pt>
                <c:pt idx="377">
                  <c:v>1.8850010093533407</c:v>
                </c:pt>
                <c:pt idx="378">
                  <c:v>1.8900006729022272</c:v>
                </c:pt>
                <c:pt idx="379">
                  <c:v>1.8950003364511134</c:v>
                </c:pt>
                <c:pt idx="380">
                  <c:v>1.8999999999999997</c:v>
                </c:pt>
                <c:pt idx="381">
                  <c:v>1.9049996635488859</c:v>
                </c:pt>
                <c:pt idx="382">
                  <c:v>1.9099993270977726</c:v>
                </c:pt>
                <c:pt idx="383">
                  <c:v>1.9149989906466589</c:v>
                </c:pt>
                <c:pt idx="384">
                  <c:v>1.9199986541955454</c:v>
                </c:pt>
                <c:pt idx="385">
                  <c:v>1.925001682255568</c:v>
                </c:pt>
                <c:pt idx="386">
                  <c:v>1.9300013458044545</c:v>
                </c:pt>
                <c:pt idx="387">
                  <c:v>1.9350010093533407</c:v>
                </c:pt>
                <c:pt idx="388">
                  <c:v>1.940000672902227</c:v>
                </c:pt>
                <c:pt idx="389">
                  <c:v>1.9450003364511133</c:v>
                </c:pt>
                <c:pt idx="390">
                  <c:v>1.9499999999999997</c:v>
                </c:pt>
                <c:pt idx="391">
                  <c:v>1.9549996635488864</c:v>
                </c:pt>
                <c:pt idx="392">
                  <c:v>1.9599993270977727</c:v>
                </c:pt>
                <c:pt idx="393">
                  <c:v>1.9649989906466589</c:v>
                </c:pt>
                <c:pt idx="394">
                  <c:v>1.9699986541955452</c:v>
                </c:pt>
                <c:pt idx="395">
                  <c:v>1.975001682255568</c:v>
                </c:pt>
                <c:pt idx="396">
                  <c:v>1.9800013458044543</c:v>
                </c:pt>
                <c:pt idx="397">
                  <c:v>1.9850010093533408</c:v>
                </c:pt>
                <c:pt idx="398">
                  <c:v>1.990000672902227</c:v>
                </c:pt>
                <c:pt idx="399">
                  <c:v>1.9950003364511133</c:v>
                </c:pt>
                <c:pt idx="400">
                  <c:v>2</c:v>
                </c:pt>
              </c:numCache>
            </c:numRef>
          </c:xVal>
          <c:yVal>
            <c:numRef>
              <c:f>uold!$H$2:$H$402</c:f>
              <c:numCache>
                <c:formatCode>_-* #,##0.00000000000_-;\-* #,##0.00000000000_-;_-* "-"_-;_-@_-</c:formatCode>
                <c:ptCount val="401"/>
                <c:pt idx="2">
                  <c:v>2.0000000522004343E-8</c:v>
                </c:pt>
                <c:pt idx="3">
                  <c:v>-2.2499999987721599E-8</c:v>
                </c:pt>
                <c:pt idx="4">
                  <c:v>-4.0000000030968597E-8</c:v>
                </c:pt>
                <c:pt idx="5">
                  <c:v>0</c:v>
                </c:pt>
                <c:pt idx="6">
                  <c:v>1.3364209738853112E-16</c:v>
                </c:pt>
                <c:pt idx="7">
                  <c:v>-6.0633914555907631E-17</c:v>
                </c:pt>
                <c:pt idx="8">
                  <c:v>-1.6000000002356028E-6</c:v>
                </c:pt>
                <c:pt idx="9">
                  <c:v>-2.0250000000977219E-6</c:v>
                </c:pt>
                <c:pt idx="10">
                  <c:v>2.500000000120644E-6</c:v>
                </c:pt>
                <c:pt idx="11">
                  <c:v>3.0250000004953468E-6</c:v>
                </c:pt>
                <c:pt idx="12">
                  <c:v>4.1577541409765264E-16</c:v>
                </c:pt>
                <c:pt idx="13">
                  <c:v>-4.8795864571182824E-16</c:v>
                </c:pt>
                <c:pt idx="14">
                  <c:v>-5.6591653585513751E-16</c:v>
                </c:pt>
                <c:pt idx="15">
                  <c:v>0</c:v>
                </c:pt>
                <c:pt idx="16">
                  <c:v>-6.335625357678508E-16</c:v>
                </c:pt>
                <c:pt idx="17">
                  <c:v>0</c:v>
                </c:pt>
                <c:pt idx="18">
                  <c:v>8.018525843311862E-16</c:v>
                </c:pt>
                <c:pt idx="19">
                  <c:v>0</c:v>
                </c:pt>
                <c:pt idx="20">
                  <c:v>-9.999999999657625E-6</c:v>
                </c:pt>
                <c:pt idx="21">
                  <c:v>-2.2049999999245064E-5</c:v>
                </c:pt>
                <c:pt idx="22">
                  <c:v>-1.2099999999585727E-5</c:v>
                </c:pt>
                <c:pt idx="23">
                  <c:v>1.3224999999743593E-4</c:v>
                </c:pt>
                <c:pt idx="24">
                  <c:v>1.440000000002967E-4</c:v>
                </c:pt>
                <c:pt idx="25">
                  <c:v>-1.5624999999619757E-4</c:v>
                </c:pt>
                <c:pt idx="26">
                  <c:v>-3.6248356538593E-15</c:v>
                </c:pt>
                <c:pt idx="27">
                  <c:v>1.8225000000187893E-4</c:v>
                </c:pt>
                <c:pt idx="28">
                  <c:v>6.7909984302616498E-15</c:v>
                </c:pt>
                <c:pt idx="29">
                  <c:v>2.1024999999210773E-4</c:v>
                </c:pt>
                <c:pt idx="30">
                  <c:v>2.249999999956376E-4</c:v>
                </c:pt>
                <c:pt idx="31">
                  <c:v>4.360279665105436E-15</c:v>
                </c:pt>
                <c:pt idx="32">
                  <c:v>2.5599999999461421E-4</c:v>
                </c:pt>
                <c:pt idx="33">
                  <c:v>5.4449999999887585E-4</c:v>
                </c:pt>
                <c:pt idx="34">
                  <c:v>5.7800000000929677E-4</c:v>
                </c:pt>
                <c:pt idx="35">
                  <c:v>6.1249999999317753E-4</c:v>
                </c:pt>
                <c:pt idx="36">
                  <c:v>6.4799999998690168E-4</c:v>
                </c:pt>
                <c:pt idx="37">
                  <c:v>6.845000000104452E-4</c:v>
                </c:pt>
                <c:pt idx="38">
                  <c:v>1.0830000000099744E-3</c:v>
                </c:pt>
                <c:pt idx="39">
                  <c:v>1.5209999999962326E-3</c:v>
                </c:pt>
                <c:pt idx="40">
                  <c:v>1.2000000000117121E-3</c:v>
                </c:pt>
                <c:pt idx="41">
                  <c:v>1.6810000000201043E-3</c:v>
                </c:pt>
                <c:pt idx="42">
                  <c:v>2.6459999999778089E-3</c:v>
                </c:pt>
                <c:pt idx="43">
                  <c:v>2.7734999999668177E-3</c:v>
                </c:pt>
                <c:pt idx="44">
                  <c:v>2.9040000000107747E-3</c:v>
                </c:pt>
                <c:pt idx="45">
                  <c:v>3.5437500000098069E-3</c:v>
                </c:pt>
                <c:pt idx="46">
                  <c:v>4.231999999990391E-3</c:v>
                </c:pt>
                <c:pt idx="47">
                  <c:v>4.4180000000100129E-3</c:v>
                </c:pt>
                <c:pt idx="48">
                  <c:v>5.1840000000078308E-3</c:v>
                </c:pt>
                <c:pt idx="49">
                  <c:v>5.4022500000081592E-3</c:v>
                </c:pt>
                <c:pt idx="50">
                  <c:v>6.2500000000355639E-3</c:v>
                </c:pt>
                <c:pt idx="51">
                  <c:v>8.4532499999809812E-3</c:v>
                </c:pt>
                <c:pt idx="52">
                  <c:v>8.7879999999734906E-3</c:v>
                </c:pt>
                <c:pt idx="53">
                  <c:v>8.4269999999802871E-3</c:v>
                </c:pt>
                <c:pt idx="54">
                  <c:v>9.476999999978631E-3</c:v>
                </c:pt>
                <c:pt idx="55">
                  <c:v>1.1343750000053318E-2</c:v>
                </c:pt>
                <c:pt idx="56">
                  <c:v>1.2543999999997385E-2</c:v>
                </c:pt>
                <c:pt idx="57">
                  <c:v>1.3808249999968145E-2</c:v>
                </c:pt>
                <c:pt idx="58">
                  <c:v>1.513800000002564E-2</c:v>
                </c:pt>
                <c:pt idx="59">
                  <c:v>1.5664499999994943E-2</c:v>
                </c:pt>
                <c:pt idx="60">
                  <c:v>1.7099999999959498E-2</c:v>
                </c:pt>
                <c:pt idx="61">
                  <c:v>1.860499999998922E-2</c:v>
                </c:pt>
                <c:pt idx="62">
                  <c:v>2.0181000000055849E-2</c:v>
                </c:pt>
                <c:pt idx="63">
                  <c:v>2.1829500000018785E-2</c:v>
                </c:pt>
                <c:pt idx="64">
                  <c:v>2.3551999999945467E-2</c:v>
                </c:pt>
                <c:pt idx="65">
                  <c:v>2.5349999999979039E-2</c:v>
                </c:pt>
                <c:pt idx="66">
                  <c:v>2.4349723455827452E-2</c:v>
                </c:pt>
                <c:pt idx="67">
                  <c:v>2.6572425902896508E-2</c:v>
                </c:pt>
                <c:pt idx="68">
                  <c:v>3.2693581496518069E-2</c:v>
                </c:pt>
                <c:pt idx="69">
                  <c:v>3.3286053582827213E-2</c:v>
                </c:pt>
                <c:pt idx="70">
                  <c:v>3.1854286819888673E-2</c:v>
                </c:pt>
                <c:pt idx="71">
                  <c:v>3.4031265291124671E-2</c:v>
                </c:pt>
                <c:pt idx="72">
                  <c:v>3.6292748473002095E-2</c:v>
                </c:pt>
                <c:pt idx="73">
                  <c:v>3.7307814421729348E-2</c:v>
                </c:pt>
                <c:pt idx="74">
                  <c:v>3.5272932637427985E-2</c:v>
                </c:pt>
                <c:pt idx="75">
                  <c:v>3.9024788435102604E-2</c:v>
                </c:pt>
                <c:pt idx="76">
                  <c:v>4.9429765869694171E-2</c:v>
                </c:pt>
                <c:pt idx="77">
                  <c:v>4.779914965776625E-2</c:v>
                </c:pt>
                <c:pt idx="78">
                  <c:v>4.5636299005998325E-2</c:v>
                </c:pt>
                <c:pt idx="79">
                  <c:v>4.9934805076858151E-2</c:v>
                </c:pt>
                <c:pt idx="80">
                  <c:v>4.9606675864046719E-2</c:v>
                </c:pt>
                <c:pt idx="81">
                  <c:v>5.0854509309506017E-2</c:v>
                </c:pt>
                <c:pt idx="82">
                  <c:v>5.3799063488925734E-2</c:v>
                </c:pt>
                <c:pt idx="83">
                  <c:v>5.5119149626164585E-2</c:v>
                </c:pt>
                <c:pt idx="84">
                  <c:v>5.0650439301062132E-2</c:v>
                </c:pt>
                <c:pt idx="85">
                  <c:v>5.1836338666722673E-2</c:v>
                </c:pt>
                <c:pt idx="86">
                  <c:v>6.5238965997944251E-2</c:v>
                </c:pt>
                <c:pt idx="87">
                  <c:v>6.490500024320757E-2</c:v>
                </c:pt>
                <c:pt idx="88">
                  <c:v>6.0024261387937171E-2</c:v>
                </c:pt>
                <c:pt idx="89">
                  <c:v>6.3376624788733973E-2</c:v>
                </c:pt>
                <c:pt idx="90">
                  <c:v>6.2783449140196596E-2</c:v>
                </c:pt>
                <c:pt idx="91">
                  <c:v>6.4186293016570722E-2</c:v>
                </c:pt>
                <c:pt idx="92">
                  <c:v>6.5604636892699325E-2</c:v>
                </c:pt>
                <c:pt idx="93">
                  <c:v>6.4875949131049854E-2</c:v>
                </c:pt>
                <c:pt idx="94">
                  <c:v>5.8894193619899851E-2</c:v>
                </c:pt>
                <c:pt idx="95">
                  <c:v>6.0122230526556728E-2</c:v>
                </c:pt>
                <c:pt idx="96">
                  <c:v>7.680585163656059E-2</c:v>
                </c:pt>
                <c:pt idx="97">
                  <c:v>7.6099871823986337E-2</c:v>
                </c:pt>
                <c:pt idx="98">
                  <c:v>6.4835903401340461E-2</c:v>
                </c:pt>
                <c:pt idx="99">
                  <c:v>6.616574424925642E-2</c:v>
                </c:pt>
                <c:pt idx="100">
                  <c:v>7.0009421582397258E-2</c:v>
                </c:pt>
                <c:pt idx="101">
                  <c:v>6.8865925944731399E-2</c:v>
                </c:pt>
                <c:pt idx="102">
                  <c:v>6.7634923577933728E-2</c:v>
                </c:pt>
                <c:pt idx="103">
                  <c:v>6.8967511061986009E-2</c:v>
                </c:pt>
                <c:pt idx="104">
                  <c:v>5.8445978003771805E-2</c:v>
                </c:pt>
                <c:pt idx="105">
                  <c:v>5.4033682482129877E-2</c:v>
                </c:pt>
                <c:pt idx="106">
                  <c:v>7.4109758939075246E-2</c:v>
                </c:pt>
                <c:pt idx="107">
                  <c:v>7.8413199859989402E-2</c:v>
                </c:pt>
                <c:pt idx="108">
                  <c:v>6.4160794379290412E-2</c:v>
                </c:pt>
                <c:pt idx="109">
                  <c:v>5.9413068914773201E-2</c:v>
                </c:pt>
                <c:pt idx="110">
                  <c:v>6.3533550085969961E-2</c:v>
                </c:pt>
                <c:pt idx="111">
                  <c:v>6.1613216962636233E-2</c:v>
                </c:pt>
                <c:pt idx="112">
                  <c:v>5.3319047339721919E-2</c:v>
                </c:pt>
                <c:pt idx="113">
                  <c:v>5.4275360260013061E-2</c:v>
                </c:pt>
                <c:pt idx="114">
                  <c:v>4.7369642579310187E-2</c:v>
                </c:pt>
                <c:pt idx="115">
                  <c:v>4.4873607122181192E-2</c:v>
                </c:pt>
                <c:pt idx="116">
                  <c:v>6.195983466109075E-2</c:v>
                </c:pt>
                <c:pt idx="117">
                  <c:v>5.9640333846990086E-2</c:v>
                </c:pt>
                <c:pt idx="118">
                  <c:v>4.8740670484928014E-2</c:v>
                </c:pt>
                <c:pt idx="119">
                  <c:v>5.6899539148261731</c:v>
                </c:pt>
                <c:pt idx="120">
                  <c:v>11.510749069615988</c:v>
                </c:pt>
                <c:pt idx="121">
                  <c:v>5.8352172904555557</c:v>
                </c:pt>
                <c:pt idx="122">
                  <c:v>-3.7214926138714743E-2</c:v>
                </c:pt>
                <c:pt idx="123">
                  <c:v>-5.6741199773969374E-2</c:v>
                </c:pt>
                <c:pt idx="124">
                  <c:v>-9.0336067658370933E-2</c:v>
                </c:pt>
                <c:pt idx="125">
                  <c:v>-0.12299050998012792</c:v>
                </c:pt>
                <c:pt idx="126">
                  <c:v>-0.1250088134584727</c:v>
                </c:pt>
                <c:pt idx="127">
                  <c:v>-0.15126208485332074</c:v>
                </c:pt>
                <c:pt idx="128">
                  <c:v>-0.19253831583868683</c:v>
                </c:pt>
                <c:pt idx="129">
                  <c:v>-0.22052315713804876</c:v>
                </c:pt>
                <c:pt idx="130">
                  <c:v>-0.24508298226699415</c:v>
                </c:pt>
                <c:pt idx="131">
                  <c:v>-0.27032185113853807</c:v>
                </c:pt>
                <c:pt idx="132">
                  <c:v>-0.30060384115868888</c:v>
                </c:pt>
                <c:pt idx="133">
                  <c:v>-0.32728955188592479</c:v>
                </c:pt>
                <c:pt idx="134">
                  <c:v>-0.36994461750442753</c:v>
                </c:pt>
                <c:pt idx="135">
                  <c:v>-0.4162858753077136</c:v>
                </c:pt>
                <c:pt idx="136">
                  <c:v>-0.44658722368537218</c:v>
                </c:pt>
                <c:pt idx="137">
                  <c:v>-0.49564110043270465</c:v>
                </c:pt>
                <c:pt idx="138">
                  <c:v>-0.54758976029124973</c:v>
                </c:pt>
                <c:pt idx="139">
                  <c:v>-0.57970857601282677</c:v>
                </c:pt>
                <c:pt idx="140">
                  <c:v>-0.6076817793329663</c:v>
                </c:pt>
                <c:pt idx="141">
                  <c:v>-0.64124793455904772</c:v>
                </c:pt>
                <c:pt idx="142">
                  <c:v>-0.67558363688891165</c:v>
                </c:pt>
                <c:pt idx="143">
                  <c:v>-0.70047053904345624</c:v>
                </c:pt>
                <c:pt idx="144">
                  <c:v>-0.7527828599594768</c:v>
                </c:pt>
                <c:pt idx="145">
                  <c:v>-0.83118925390060028</c:v>
                </c:pt>
                <c:pt idx="146">
                  <c:v>-0.89406236826810215</c:v>
                </c:pt>
                <c:pt idx="147">
                  <c:v>-0.96083479449118336</c:v>
                </c:pt>
                <c:pt idx="148">
                  <c:v>-1.018674941482232</c:v>
                </c:pt>
                <c:pt idx="149">
                  <c:v>-1.0546903884203176</c:v>
                </c:pt>
                <c:pt idx="150">
                  <c:v>-1.0913968757351979</c:v>
                </c:pt>
                <c:pt idx="151">
                  <c:v>-1.1230993912878484</c:v>
                </c:pt>
                <c:pt idx="152">
                  <c:v>-1.1553534371275571</c:v>
                </c:pt>
                <c:pt idx="153">
                  <c:v>-1.1881635132491168</c:v>
                </c:pt>
                <c:pt idx="154">
                  <c:v>-1.232635747748011</c:v>
                </c:pt>
                <c:pt idx="155">
                  <c:v>-1.3261077820007137</c:v>
                </c:pt>
                <c:pt idx="156">
                  <c:v>-1.4363166719571414</c:v>
                </c:pt>
                <c:pt idx="157">
                  <c:v>-1.5233106730412125</c:v>
                </c:pt>
                <c:pt idx="158">
                  <c:v>-1.5791882105638186</c:v>
                </c:pt>
                <c:pt idx="159">
                  <c:v>-1.5992398226093465</c:v>
                </c:pt>
                <c:pt idx="160">
                  <c:v>-1.6258187960557824</c:v>
                </c:pt>
                <c:pt idx="161">
                  <c:v>-1.6591658970551366</c:v>
                </c:pt>
                <c:pt idx="162">
                  <c:v>-1.6798392752532203</c:v>
                </c:pt>
                <c:pt idx="163">
                  <c:v>-1.7072837810020876</c:v>
                </c:pt>
                <c:pt idx="164">
                  <c:v>-1.7514847900818542</c:v>
                </c:pt>
                <c:pt idx="165">
                  <c:v>-1.7652139084946794</c:v>
                </c:pt>
                <c:pt idx="166">
                  <c:v>-1.739482711426422</c:v>
                </c:pt>
                <c:pt idx="167">
                  <c:v>-1.7683678003619494</c:v>
                </c:pt>
                <c:pt idx="168">
                  <c:v>-1.8136389774539039</c:v>
                </c:pt>
                <c:pt idx="169">
                  <c:v>-1.8210102640623003</c:v>
                </c:pt>
                <c:pt idx="170">
                  <c:v>-1.8209450553513864</c:v>
                </c:pt>
                <c:pt idx="171">
                  <c:v>-1.8278070404840037</c:v>
                </c:pt>
                <c:pt idx="172">
                  <c:v>-1.8418489866128638</c:v>
                </c:pt>
                <c:pt idx="173">
                  <c:v>-1.8333937024947777</c:v>
                </c:pt>
                <c:pt idx="174">
                  <c:v>-1.8624123640802908</c:v>
                </c:pt>
                <c:pt idx="175">
                  <c:v>-2.0053679079310371</c:v>
                </c:pt>
                <c:pt idx="176">
                  <c:v>-2.2141458796372473</c:v>
                </c:pt>
                <c:pt idx="177">
                  <c:v>-2.3423240146420663</c:v>
                </c:pt>
                <c:pt idx="178">
                  <c:v>-2.3607792733800141</c:v>
                </c:pt>
                <c:pt idx="179">
                  <c:v>-2.3553322416050277</c:v>
                </c:pt>
                <c:pt idx="180">
                  <c:v>-2.3331139809539034</c:v>
                </c:pt>
                <c:pt idx="181">
                  <c:v>-2.3017683013581274</c:v>
                </c:pt>
                <c:pt idx="182">
                  <c:v>-2.2858602416173066</c:v>
                </c:pt>
                <c:pt idx="183">
                  <c:v>-2.2691801213126275</c:v>
                </c:pt>
                <c:pt idx="184">
                  <c:v>-2.2563729789555969</c:v>
                </c:pt>
                <c:pt idx="185">
                  <c:v>-2.7244949644387586</c:v>
                </c:pt>
                <c:pt idx="186">
                  <c:v>-3.66169387309332</c:v>
                </c:pt>
                <c:pt idx="187">
                  <c:v>-4.1226477949861344</c:v>
                </c:pt>
                <c:pt idx="188">
                  <c:v>-4.0651128855549201</c:v>
                </c:pt>
                <c:pt idx="189">
                  <c:v>-3.9566360349298146</c:v>
                </c:pt>
                <c:pt idx="190">
                  <c:v>-3.8632198963630455</c:v>
                </c:pt>
                <c:pt idx="191">
                  <c:v>-3.7762890371085645</c:v>
                </c:pt>
                <c:pt idx="192">
                  <c:v>-3.6684565438575105</c:v>
                </c:pt>
                <c:pt idx="193">
                  <c:v>-3.5670643299178981</c:v>
                </c:pt>
                <c:pt idx="194">
                  <c:v>-3.4803772104564312</c:v>
                </c:pt>
                <c:pt idx="195">
                  <c:v>-4.0751287228707698</c:v>
                </c:pt>
                <c:pt idx="196">
                  <c:v>-5.3209973218556641</c:v>
                </c:pt>
                <c:pt idx="197">
                  <c:v>-5.834110909826201</c:v>
                </c:pt>
                <c:pt idx="198">
                  <c:v>-5.6167365118189636</c:v>
                </c:pt>
                <c:pt idx="199">
                  <c:v>-5.3864645306900645</c:v>
                </c:pt>
                <c:pt idx="200">
                  <c:v>-5.160694505197811</c:v>
                </c:pt>
                <c:pt idx="201">
                  <c:v>-4.9396837055254492</c:v>
                </c:pt>
                <c:pt idx="202">
                  <c:v>-4.7338947612540681</c:v>
                </c:pt>
                <c:pt idx="203">
                  <c:v>-4.5129838643833784</c:v>
                </c:pt>
                <c:pt idx="204">
                  <c:v>-4.3078418630847395</c:v>
                </c:pt>
                <c:pt idx="205">
                  <c:v>-4.3164623763484178</c:v>
                </c:pt>
                <c:pt idx="206">
                  <c:v>-4.507909007274443</c:v>
                </c:pt>
                <c:pt idx="207">
                  <c:v>-4.4469259198613651</c:v>
                </c:pt>
                <c:pt idx="208">
                  <c:v>-4.2404481487773165</c:v>
                </c:pt>
                <c:pt idx="209">
                  <c:v>-4.0738041087976642</c:v>
                </c:pt>
                <c:pt idx="210">
                  <c:v>-3.859269364716376</c:v>
                </c:pt>
                <c:pt idx="211">
                  <c:v>-3.7847919281454634</c:v>
                </c:pt>
                <c:pt idx="212">
                  <c:v>-3.4836243896354953</c:v>
                </c:pt>
                <c:pt idx="213">
                  <c:v>-3.18144063232584</c:v>
                </c:pt>
                <c:pt idx="214">
                  <c:v>-2.9809060268449232</c:v>
                </c:pt>
                <c:pt idx="215">
                  <c:v>-2.4210449736966178</c:v>
                </c:pt>
                <c:pt idx="216">
                  <c:v>-2.094942245000845</c:v>
                </c:pt>
                <c:pt idx="217">
                  <c:v>-2.0015555846851445</c:v>
                </c:pt>
                <c:pt idx="218">
                  <c:v>-1.9012182052700837</c:v>
                </c:pt>
                <c:pt idx="219">
                  <c:v>-1.7987806778003159</c:v>
                </c:pt>
                <c:pt idx="220">
                  <c:v>-1.6942280022856342</c:v>
                </c:pt>
                <c:pt idx="221">
                  <c:v>-1.7096640386299859</c:v>
                </c:pt>
                <c:pt idx="222">
                  <c:v>-1.4787172071140879</c:v>
                </c:pt>
                <c:pt idx="223">
                  <c:v>-1.3701548064096221</c:v>
                </c:pt>
                <c:pt idx="224">
                  <c:v>-1.3817939926767355</c:v>
                </c:pt>
                <c:pt idx="225">
                  <c:v>-1.0098300870247701</c:v>
                </c:pt>
                <c:pt idx="226">
                  <c:v>-0.89167577796978859</c:v>
                </c:pt>
                <c:pt idx="227">
                  <c:v>-1.0307205431448883</c:v>
                </c:pt>
                <c:pt idx="228">
                  <c:v>-1.0398211622602818</c:v>
                </c:pt>
                <c:pt idx="229">
                  <c:v>-0.91784155870175221</c:v>
                </c:pt>
                <c:pt idx="230">
                  <c:v>-0.66133900030214376</c:v>
                </c:pt>
                <c:pt idx="231">
                  <c:v>-0.53368150980067786</c:v>
                </c:pt>
                <c:pt idx="232">
                  <c:v>-0.67288977419182849</c:v>
                </c:pt>
                <c:pt idx="233">
                  <c:v>-0.81558463746333199</c:v>
                </c:pt>
                <c:pt idx="234">
                  <c:v>-0.68536910066043644</c:v>
                </c:pt>
                <c:pt idx="235">
                  <c:v>-0.55097939183774847</c:v>
                </c:pt>
                <c:pt idx="236">
                  <c:v>-0.41669982665445288</c:v>
                </c:pt>
                <c:pt idx="237">
                  <c:v>-0.42132491783587894</c:v>
                </c:pt>
                <c:pt idx="238">
                  <c:v>-0.56651688013271728</c:v>
                </c:pt>
                <c:pt idx="239">
                  <c:v>-0.28564360157680824</c:v>
                </c:pt>
                <c:pt idx="240">
                  <c:v>-0.28803876307813792</c:v>
                </c:pt>
                <c:pt idx="241">
                  <c:v>-0.58088784917717173</c:v>
                </c:pt>
                <c:pt idx="242">
                  <c:v>-0.29285908609697586</c:v>
                </c:pt>
                <c:pt idx="243">
                  <c:v>-0.14818839468997241</c:v>
                </c:pt>
                <c:pt idx="244">
                  <c:v>-0.44687938530794974</c:v>
                </c:pt>
                <c:pt idx="245">
                  <c:v>-0.29951013969030293</c:v>
                </c:pt>
                <c:pt idx="246">
                  <c:v>4.5805457054971696E-4</c:v>
                </c:pt>
                <c:pt idx="247">
                  <c:v>-0.30508655592972711</c:v>
                </c:pt>
                <c:pt idx="248">
                  <c:v>-0.30756172415791005</c:v>
                </c:pt>
                <c:pt idx="249">
                  <c:v>4.3854221741852838E-12</c:v>
                </c:pt>
                <c:pt idx="250">
                  <c:v>-0.15627103031582423</c:v>
                </c:pt>
                <c:pt idx="251">
                  <c:v>-0.31504722887068376</c:v>
                </c:pt>
                <c:pt idx="252">
                  <c:v>-0.15878119855715758</c:v>
                </c:pt>
                <c:pt idx="253">
                  <c:v>-2.6916210121421299E-4</c:v>
                </c:pt>
                <c:pt idx="254">
                  <c:v>-0.161474070141435</c:v>
                </c:pt>
                <c:pt idx="255">
                  <c:v>-0.16225677822194395</c:v>
                </c:pt>
                <c:pt idx="256">
                  <c:v>-0.16364192905967709</c:v>
                </c:pt>
                <c:pt idx="257">
                  <c:v>-0.16514498394243357</c:v>
                </c:pt>
                <c:pt idx="258">
                  <c:v>0.16643257142796852</c:v>
                </c:pt>
                <c:pt idx="259">
                  <c:v>-9.6200491870355317E-15</c:v>
                </c:pt>
                <c:pt idx="260">
                  <c:v>-0.33804549278394297</c:v>
                </c:pt>
                <c:pt idx="261">
                  <c:v>2.4302219514026431E-12</c:v>
                </c:pt>
                <c:pt idx="262">
                  <c:v>0.17163292135834629</c:v>
                </c:pt>
                <c:pt idx="263">
                  <c:v>-0.17306185294680931</c:v>
                </c:pt>
                <c:pt idx="264">
                  <c:v>-0.17432167212642652</c:v>
                </c:pt>
                <c:pt idx="265">
                  <c:v>1.1808107307484783E-4</c:v>
                </c:pt>
                <c:pt idx="266">
                  <c:v>1.1901390019504194E-4</c:v>
                </c:pt>
                <c:pt idx="267">
                  <c:v>-0.17824675721665956</c:v>
                </c:pt>
                <c:pt idx="268">
                  <c:v>-0.17958434806455739</c:v>
                </c:pt>
                <c:pt idx="269">
                  <c:v>0.18092693891502973</c:v>
                </c:pt>
                <c:pt idx="270">
                  <c:v>3.4652699811965947E-15</c:v>
                </c:pt>
                <c:pt idx="271">
                  <c:v>-0.18362712061347988</c:v>
                </c:pt>
                <c:pt idx="272">
                  <c:v>0.18498471145616199</c:v>
                </c:pt>
                <c:pt idx="273">
                  <c:v>-6.2679883767224903E-5</c:v>
                </c:pt>
                <c:pt idx="274">
                  <c:v>-0.18771487191419489</c:v>
                </c:pt>
                <c:pt idx="275">
                  <c:v>6.3580493604817662E-5</c:v>
                </c:pt>
                <c:pt idx="276">
                  <c:v>-0.19040193832514579</c:v>
                </c:pt>
                <c:pt idx="277">
                  <c:v>-5.4563076853723837E-12</c:v>
                </c:pt>
                <c:pt idx="278">
                  <c:v>0.19323619200012473</c:v>
                </c:pt>
                <c:pt idx="279">
                  <c:v>-0.19462878621274321</c:v>
                </c:pt>
                <c:pt idx="280">
                  <c:v>5.5714000220469348E-12</c:v>
                </c:pt>
                <c:pt idx="281">
                  <c:v>0.1974289746435948</c:v>
                </c:pt>
                <c:pt idx="282">
                  <c:v>-0.19883656885625295</c:v>
                </c:pt>
                <c:pt idx="283">
                  <c:v>-6.7355921499516607E-5</c:v>
                </c:pt>
                <c:pt idx="284">
                  <c:v>0.20153111460639164</c:v>
                </c:pt>
                <c:pt idx="285">
                  <c:v>-0.20295371034048854</c:v>
                </c:pt>
                <c:pt idx="286">
                  <c:v>-0.20444911632737495</c:v>
                </c:pt>
                <c:pt idx="287">
                  <c:v>0</c:v>
                </c:pt>
                <c:pt idx="288">
                  <c:v>0.20738810323525494</c:v>
                </c:pt>
                <c:pt idx="289">
                  <c:v>0.20883070081260977</c:v>
                </c:pt>
                <c:pt idx="290">
                  <c:v>-0.21027829838996454</c:v>
                </c:pt>
                <c:pt idx="291">
                  <c:v>-0.21173089596731917</c:v>
                </c:pt>
                <c:pt idx="292">
                  <c:v>0</c:v>
                </c:pt>
                <c:pt idx="293">
                  <c:v>0</c:v>
                </c:pt>
                <c:pt idx="294">
                  <c:v>0.21597332554252255</c:v>
                </c:pt>
                <c:pt idx="295">
                  <c:v>0.21751908948245566</c:v>
                </c:pt>
                <c:pt idx="296">
                  <c:v>-0.21899619341788151</c:v>
                </c:pt>
                <c:pt idx="297">
                  <c:v>-0.22055248083155787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0.23565452329638836</c:v>
                </c:pt>
                <c:pt idx="308">
                  <c:v>0.23719212760325983</c:v>
                </c:pt>
                <c:pt idx="309">
                  <c:v>-0.23873473191013125</c:v>
                </c:pt>
                <c:pt idx="310">
                  <c:v>-0.24028233621699815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50400"/>
        <c:axId val="190551936"/>
      </c:scatterChart>
      <c:valAx>
        <c:axId val="190550400"/>
        <c:scaling>
          <c:orientation val="minMax"/>
        </c:scaling>
        <c:delete val="0"/>
        <c:axPos val="b"/>
        <c:numFmt formatCode="0.000%" sourceLinked="1"/>
        <c:majorTickMark val="out"/>
        <c:minorTickMark val="none"/>
        <c:tickLblPos val="nextTo"/>
        <c:crossAx val="190551936"/>
        <c:crosses val="autoZero"/>
        <c:crossBetween val="midCat"/>
      </c:valAx>
      <c:valAx>
        <c:axId val="190551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05504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uold!$F$1</c:f>
              <c:strCache>
                <c:ptCount val="1"/>
                <c:pt idx="0">
                  <c:v>%$delta</c:v>
                </c:pt>
              </c:strCache>
            </c:strRef>
          </c:tx>
          <c:marker>
            <c:symbol val="none"/>
          </c:marker>
          <c:xVal>
            <c:numRef>
              <c:f>uold!$B$2:$B$402</c:f>
              <c:numCache>
                <c:formatCode>0.000%</c:formatCode>
                <c:ptCount val="401"/>
                <c:pt idx="0">
                  <c:v>0</c:v>
                </c:pt>
                <c:pt idx="1">
                  <c:v>4.9999999999999992E-3</c:v>
                </c:pt>
                <c:pt idx="2">
                  <c:v>9.9999999999999985E-3</c:v>
                </c:pt>
                <c:pt idx="3">
                  <c:v>1.4999999999999999E-2</c:v>
                </c:pt>
                <c:pt idx="4">
                  <c:v>1.9999999999999997E-2</c:v>
                </c:pt>
                <c:pt idx="5">
                  <c:v>2.4999999999999998E-2</c:v>
                </c:pt>
                <c:pt idx="6">
                  <c:v>0.03</c:v>
                </c:pt>
                <c:pt idx="7">
                  <c:v>3.4999999999999996E-2</c:v>
                </c:pt>
                <c:pt idx="8">
                  <c:v>3.9999999999999994E-2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5.5E-2</c:v>
                </c:pt>
                <c:pt idx="12">
                  <c:v>0.06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7.9999999999999988E-2</c:v>
                </c:pt>
                <c:pt idx="17">
                  <c:v>8.4999999999999992E-2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9.9999999999999992E-2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0.12999999999999998</c:v>
                </c:pt>
                <c:pt idx="27">
                  <c:v>0.13499999999999998</c:v>
                </c:pt>
                <c:pt idx="28">
                  <c:v>0.13999999999999999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0.15499999999999997</c:v>
                </c:pt>
                <c:pt idx="32">
                  <c:v>0.15999999999999998</c:v>
                </c:pt>
                <c:pt idx="33">
                  <c:v>0.16499999999999998</c:v>
                </c:pt>
                <c:pt idx="34">
                  <c:v>0.16999999999999998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0.19499999999999998</c:v>
                </c:pt>
                <c:pt idx="40">
                  <c:v>0.19999999999999998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0.21499999999999997</c:v>
                </c:pt>
                <c:pt idx="44">
                  <c:v>0.22</c:v>
                </c:pt>
                <c:pt idx="45">
                  <c:v>0.22499999999999998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0.24499999999999997</c:v>
                </c:pt>
                <c:pt idx="50">
                  <c:v>0.25</c:v>
                </c:pt>
                <c:pt idx="51">
                  <c:v>0.255</c:v>
                </c:pt>
                <c:pt idx="52">
                  <c:v>0.25999999999999995</c:v>
                </c:pt>
                <c:pt idx="53">
                  <c:v>0.26499999999999996</c:v>
                </c:pt>
                <c:pt idx="54">
                  <c:v>0.26999999999999996</c:v>
                </c:pt>
                <c:pt idx="55">
                  <c:v>0.27499999999999997</c:v>
                </c:pt>
                <c:pt idx="56">
                  <c:v>0.27999999999999997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0.30999999999999994</c:v>
                </c:pt>
                <c:pt idx="63">
                  <c:v>0.315</c:v>
                </c:pt>
                <c:pt idx="64">
                  <c:v>0.31999999999999995</c:v>
                </c:pt>
                <c:pt idx="65">
                  <c:v>0.32500000000000001</c:v>
                </c:pt>
                <c:pt idx="66">
                  <c:v>0.32999999999999996</c:v>
                </c:pt>
                <c:pt idx="67">
                  <c:v>0.33500000000000002</c:v>
                </c:pt>
                <c:pt idx="68">
                  <c:v>0.3400006729022273</c:v>
                </c:pt>
                <c:pt idx="69">
                  <c:v>0.34500033645111361</c:v>
                </c:pt>
                <c:pt idx="70">
                  <c:v>0.35</c:v>
                </c:pt>
                <c:pt idx="71">
                  <c:v>0.35499966354888635</c:v>
                </c:pt>
                <c:pt idx="72">
                  <c:v>0.35999932709777266</c:v>
                </c:pt>
                <c:pt idx="73">
                  <c:v>0.36499899064665903</c:v>
                </c:pt>
                <c:pt idx="74">
                  <c:v>0.36999865419554534</c:v>
                </c:pt>
                <c:pt idx="75">
                  <c:v>0.37499831774443165</c:v>
                </c:pt>
                <c:pt idx="76">
                  <c:v>0.3800013458044546</c:v>
                </c:pt>
                <c:pt idx="77">
                  <c:v>0.38500100935334097</c:v>
                </c:pt>
                <c:pt idx="78">
                  <c:v>0.39000067290222729</c:v>
                </c:pt>
                <c:pt idx="79">
                  <c:v>0.3950003364511136</c:v>
                </c:pt>
                <c:pt idx="80">
                  <c:v>0.39999999999999997</c:v>
                </c:pt>
                <c:pt idx="81">
                  <c:v>0.40499966354888628</c:v>
                </c:pt>
                <c:pt idx="82">
                  <c:v>0.40999932709777265</c:v>
                </c:pt>
                <c:pt idx="83">
                  <c:v>0.41499899064665902</c:v>
                </c:pt>
                <c:pt idx="84">
                  <c:v>0.41999865419554533</c:v>
                </c:pt>
                <c:pt idx="85">
                  <c:v>0.4249983177444317</c:v>
                </c:pt>
                <c:pt idx="86">
                  <c:v>0.43000134580445459</c:v>
                </c:pt>
                <c:pt idx="87">
                  <c:v>0.43500100935334091</c:v>
                </c:pt>
                <c:pt idx="88">
                  <c:v>0.44000067290222722</c:v>
                </c:pt>
                <c:pt idx="89">
                  <c:v>0.44500033645111364</c:v>
                </c:pt>
                <c:pt idx="90">
                  <c:v>0.44999999999999996</c:v>
                </c:pt>
                <c:pt idx="91">
                  <c:v>0.45499966354888632</c:v>
                </c:pt>
                <c:pt idx="92">
                  <c:v>0.45999932709777264</c:v>
                </c:pt>
                <c:pt idx="93">
                  <c:v>0.46499899064665895</c:v>
                </c:pt>
                <c:pt idx="94">
                  <c:v>0.46999865419554537</c:v>
                </c:pt>
                <c:pt idx="95">
                  <c:v>0.47499831774443169</c:v>
                </c:pt>
                <c:pt idx="96">
                  <c:v>0.48000134580445458</c:v>
                </c:pt>
                <c:pt idx="97">
                  <c:v>0.4850010093533409</c:v>
                </c:pt>
                <c:pt idx="98">
                  <c:v>0.49000067290222726</c:v>
                </c:pt>
                <c:pt idx="99">
                  <c:v>0.49500033645111358</c:v>
                </c:pt>
                <c:pt idx="100">
                  <c:v>0.5</c:v>
                </c:pt>
                <c:pt idx="101">
                  <c:v>0.50499966354888626</c:v>
                </c:pt>
                <c:pt idx="102">
                  <c:v>0.50999932709777263</c:v>
                </c:pt>
                <c:pt idx="103">
                  <c:v>0.51499899064665899</c:v>
                </c:pt>
                <c:pt idx="104">
                  <c:v>0.51999865419554536</c:v>
                </c:pt>
                <c:pt idx="105">
                  <c:v>0.52499831774443162</c:v>
                </c:pt>
                <c:pt idx="106">
                  <c:v>0.53000134580445457</c:v>
                </c:pt>
                <c:pt idx="107">
                  <c:v>0.53500100935334094</c:v>
                </c:pt>
                <c:pt idx="108">
                  <c:v>0.5400006729022272</c:v>
                </c:pt>
                <c:pt idx="109">
                  <c:v>0.54500033645111368</c:v>
                </c:pt>
                <c:pt idx="110">
                  <c:v>0.54999999999999993</c:v>
                </c:pt>
                <c:pt idx="111">
                  <c:v>0.5549996635488863</c:v>
                </c:pt>
                <c:pt idx="112">
                  <c:v>0.55999932709777267</c:v>
                </c:pt>
                <c:pt idx="113">
                  <c:v>0.56499899064665904</c:v>
                </c:pt>
                <c:pt idx="114">
                  <c:v>0.5699986541955453</c:v>
                </c:pt>
                <c:pt idx="115">
                  <c:v>0.57499831774443166</c:v>
                </c:pt>
                <c:pt idx="116">
                  <c:v>0.58000134580445462</c:v>
                </c:pt>
                <c:pt idx="117">
                  <c:v>0.58500100935334087</c:v>
                </c:pt>
                <c:pt idx="118">
                  <c:v>0.59000067290222735</c:v>
                </c:pt>
                <c:pt idx="119">
                  <c:v>0.59500033645111361</c:v>
                </c:pt>
                <c:pt idx="120">
                  <c:v>0.6</c:v>
                </c:pt>
                <c:pt idx="121">
                  <c:v>0.60499966354888635</c:v>
                </c:pt>
                <c:pt idx="122">
                  <c:v>0.6099993270977726</c:v>
                </c:pt>
                <c:pt idx="123">
                  <c:v>0.61499899064665897</c:v>
                </c:pt>
                <c:pt idx="124">
                  <c:v>0.61999865419554534</c:v>
                </c:pt>
                <c:pt idx="125">
                  <c:v>0.62499831774443171</c:v>
                </c:pt>
                <c:pt idx="126">
                  <c:v>0.63000134580445455</c:v>
                </c:pt>
                <c:pt idx="127">
                  <c:v>0.63500100935334092</c:v>
                </c:pt>
                <c:pt idx="128">
                  <c:v>0.64000067290222729</c:v>
                </c:pt>
                <c:pt idx="129">
                  <c:v>0.64500033645111354</c:v>
                </c:pt>
                <c:pt idx="130">
                  <c:v>0.65</c:v>
                </c:pt>
                <c:pt idx="131">
                  <c:v>0.65499966354888628</c:v>
                </c:pt>
                <c:pt idx="132">
                  <c:v>0.65999932709777265</c:v>
                </c:pt>
                <c:pt idx="133">
                  <c:v>0.66499899064665902</c:v>
                </c:pt>
                <c:pt idx="134">
                  <c:v>0.66999865419554527</c:v>
                </c:pt>
                <c:pt idx="135">
                  <c:v>0.67499831774443164</c:v>
                </c:pt>
                <c:pt idx="136">
                  <c:v>0.68000134580445459</c:v>
                </c:pt>
                <c:pt idx="137">
                  <c:v>0.68500100935334096</c:v>
                </c:pt>
                <c:pt idx="138">
                  <c:v>0.69000067290222722</c:v>
                </c:pt>
                <c:pt idx="139">
                  <c:v>0.69500033645111359</c:v>
                </c:pt>
                <c:pt idx="140">
                  <c:v>0.7</c:v>
                </c:pt>
                <c:pt idx="141">
                  <c:v>0.70499966354888621</c:v>
                </c:pt>
                <c:pt idx="142">
                  <c:v>0.70999932709777269</c:v>
                </c:pt>
                <c:pt idx="143">
                  <c:v>0.71499899064665895</c:v>
                </c:pt>
                <c:pt idx="144">
                  <c:v>0.71999865419554532</c:v>
                </c:pt>
                <c:pt idx="145">
                  <c:v>0.72499831774443169</c:v>
                </c:pt>
                <c:pt idx="146">
                  <c:v>0.73000134580445453</c:v>
                </c:pt>
                <c:pt idx="147">
                  <c:v>0.7350010093533409</c:v>
                </c:pt>
                <c:pt idx="148">
                  <c:v>0.74000067290222726</c:v>
                </c:pt>
                <c:pt idx="149">
                  <c:v>0.74500033645111363</c:v>
                </c:pt>
                <c:pt idx="150">
                  <c:v>0.74999999999999989</c:v>
                </c:pt>
                <c:pt idx="151">
                  <c:v>0.75499966354888626</c:v>
                </c:pt>
                <c:pt idx="152">
                  <c:v>0.75999932709777263</c:v>
                </c:pt>
                <c:pt idx="153">
                  <c:v>0.76499899064665888</c:v>
                </c:pt>
                <c:pt idx="154">
                  <c:v>0.76999865419554536</c:v>
                </c:pt>
                <c:pt idx="155">
                  <c:v>0.77499831774443162</c:v>
                </c:pt>
                <c:pt idx="156">
                  <c:v>0.78000134580445457</c:v>
                </c:pt>
                <c:pt idx="157">
                  <c:v>0.78500100935334094</c:v>
                </c:pt>
                <c:pt idx="158">
                  <c:v>0.7900006729022272</c:v>
                </c:pt>
                <c:pt idx="159">
                  <c:v>0.79500033645111357</c:v>
                </c:pt>
                <c:pt idx="160">
                  <c:v>0.79999999999999993</c:v>
                </c:pt>
                <c:pt idx="161">
                  <c:v>0.8049996635488863</c:v>
                </c:pt>
                <c:pt idx="162">
                  <c:v>0.80999932709777256</c:v>
                </c:pt>
                <c:pt idx="163">
                  <c:v>0.81499899064665904</c:v>
                </c:pt>
                <c:pt idx="164">
                  <c:v>0.8199986541955453</c:v>
                </c:pt>
                <c:pt idx="165">
                  <c:v>0.82499831774443166</c:v>
                </c:pt>
                <c:pt idx="166">
                  <c:v>0.83000134580445462</c:v>
                </c:pt>
                <c:pt idx="167">
                  <c:v>0.83500100935334087</c:v>
                </c:pt>
                <c:pt idx="168">
                  <c:v>0.84000067290222724</c:v>
                </c:pt>
                <c:pt idx="169">
                  <c:v>0.84500033645111361</c:v>
                </c:pt>
                <c:pt idx="170">
                  <c:v>0.85</c:v>
                </c:pt>
                <c:pt idx="171">
                  <c:v>0.85499966354888624</c:v>
                </c:pt>
                <c:pt idx="172">
                  <c:v>0.8599993270977726</c:v>
                </c:pt>
                <c:pt idx="173">
                  <c:v>0.86499899064665908</c:v>
                </c:pt>
                <c:pt idx="174">
                  <c:v>0.86999865419554534</c:v>
                </c:pt>
                <c:pt idx="175">
                  <c:v>0.87499831774443171</c:v>
                </c:pt>
                <c:pt idx="176">
                  <c:v>0.88000134580445444</c:v>
                </c:pt>
                <c:pt idx="177">
                  <c:v>0.88500100935334092</c:v>
                </c:pt>
                <c:pt idx="178">
                  <c:v>0.89000067290222729</c:v>
                </c:pt>
                <c:pt idx="179">
                  <c:v>0.89500033645111354</c:v>
                </c:pt>
                <c:pt idx="180">
                  <c:v>0.89999999999999991</c:v>
                </c:pt>
                <c:pt idx="181">
                  <c:v>0.90499966354888617</c:v>
                </c:pt>
                <c:pt idx="182">
                  <c:v>0.90999932709777265</c:v>
                </c:pt>
                <c:pt idx="183">
                  <c:v>0.91499899064665902</c:v>
                </c:pt>
                <c:pt idx="184">
                  <c:v>0.91999865419554527</c:v>
                </c:pt>
                <c:pt idx="185">
                  <c:v>0.92499831774443164</c:v>
                </c:pt>
                <c:pt idx="186">
                  <c:v>0.93000134580445459</c:v>
                </c:pt>
                <c:pt idx="187">
                  <c:v>0.93500100935334096</c:v>
                </c:pt>
                <c:pt idx="188">
                  <c:v>0.94000067290222722</c:v>
                </c:pt>
                <c:pt idx="189">
                  <c:v>0.94500033645111359</c:v>
                </c:pt>
                <c:pt idx="190">
                  <c:v>0.94999999999999984</c:v>
                </c:pt>
                <c:pt idx="191">
                  <c:v>0.95499966354888632</c:v>
                </c:pt>
                <c:pt idx="192">
                  <c:v>0.95999932709777269</c:v>
                </c:pt>
                <c:pt idx="193">
                  <c:v>0.96499899064665895</c:v>
                </c:pt>
                <c:pt idx="194">
                  <c:v>0.96999865419554532</c:v>
                </c:pt>
                <c:pt idx="195">
                  <c:v>0.97499831774443158</c:v>
                </c:pt>
                <c:pt idx="196">
                  <c:v>0.98000134580445453</c:v>
                </c:pt>
                <c:pt idx="197">
                  <c:v>0.9850010093533409</c:v>
                </c:pt>
                <c:pt idx="198">
                  <c:v>0.99000067290222715</c:v>
                </c:pt>
                <c:pt idx="199">
                  <c:v>0.99500033645111352</c:v>
                </c:pt>
                <c:pt idx="200">
                  <c:v>1</c:v>
                </c:pt>
                <c:pt idx="201">
                  <c:v>1.0049996635488863</c:v>
                </c:pt>
                <c:pt idx="202">
                  <c:v>1.0099993270977725</c:v>
                </c:pt>
                <c:pt idx="203">
                  <c:v>1.014998990646659</c:v>
                </c:pt>
                <c:pt idx="204">
                  <c:v>1.0199986541955453</c:v>
                </c:pt>
                <c:pt idx="205">
                  <c:v>1.0249983177444315</c:v>
                </c:pt>
                <c:pt idx="206">
                  <c:v>1.0300013458044546</c:v>
                </c:pt>
                <c:pt idx="207">
                  <c:v>1.0350010093533408</c:v>
                </c:pt>
                <c:pt idx="208">
                  <c:v>1.0400006729022271</c:v>
                </c:pt>
                <c:pt idx="209">
                  <c:v>1.0450003364511136</c:v>
                </c:pt>
                <c:pt idx="210">
                  <c:v>1.05</c:v>
                </c:pt>
                <c:pt idx="211">
                  <c:v>1.0549996635488863</c:v>
                </c:pt>
                <c:pt idx="212">
                  <c:v>1.0599993270977726</c:v>
                </c:pt>
                <c:pt idx="213">
                  <c:v>1.0649989906466588</c:v>
                </c:pt>
                <c:pt idx="214">
                  <c:v>1.0699986541955453</c:v>
                </c:pt>
                <c:pt idx="215">
                  <c:v>1.0750016822555681</c:v>
                </c:pt>
                <c:pt idx="216">
                  <c:v>1.0800013458044544</c:v>
                </c:pt>
                <c:pt idx="217">
                  <c:v>1.0850010093533409</c:v>
                </c:pt>
                <c:pt idx="218">
                  <c:v>1.0900006729022274</c:v>
                </c:pt>
                <c:pt idx="219">
                  <c:v>1.0950003364511136</c:v>
                </c:pt>
                <c:pt idx="220">
                  <c:v>1.0999999999999999</c:v>
                </c:pt>
                <c:pt idx="221">
                  <c:v>1.1049996635488863</c:v>
                </c:pt>
                <c:pt idx="222">
                  <c:v>1.1099993270977726</c:v>
                </c:pt>
                <c:pt idx="223">
                  <c:v>1.1149989906466589</c:v>
                </c:pt>
                <c:pt idx="224">
                  <c:v>1.1199986541955453</c:v>
                </c:pt>
                <c:pt idx="225">
                  <c:v>1.1250016822555682</c:v>
                </c:pt>
                <c:pt idx="226">
                  <c:v>1.1300013458044544</c:v>
                </c:pt>
                <c:pt idx="227">
                  <c:v>1.1350010093533409</c:v>
                </c:pt>
                <c:pt idx="228">
                  <c:v>1.1400006729022272</c:v>
                </c:pt>
                <c:pt idx="229">
                  <c:v>1.1450003364511137</c:v>
                </c:pt>
                <c:pt idx="230">
                  <c:v>1.1499999999999999</c:v>
                </c:pt>
                <c:pt idx="231">
                  <c:v>1.1549996635488862</c:v>
                </c:pt>
                <c:pt idx="232">
                  <c:v>1.1599993270977724</c:v>
                </c:pt>
                <c:pt idx="233">
                  <c:v>1.1649989906466589</c:v>
                </c:pt>
                <c:pt idx="234">
                  <c:v>1.1699986541955454</c:v>
                </c:pt>
                <c:pt idx="235">
                  <c:v>1.175001682255568</c:v>
                </c:pt>
                <c:pt idx="236">
                  <c:v>1.1800013458044547</c:v>
                </c:pt>
                <c:pt idx="237">
                  <c:v>1.185001009353341</c:v>
                </c:pt>
                <c:pt idx="238">
                  <c:v>1.1900006729022272</c:v>
                </c:pt>
                <c:pt idx="239">
                  <c:v>1.1950003364511135</c:v>
                </c:pt>
                <c:pt idx="240">
                  <c:v>1.2</c:v>
                </c:pt>
                <c:pt idx="241">
                  <c:v>1.2049996635488862</c:v>
                </c:pt>
                <c:pt idx="242">
                  <c:v>1.2099993270977727</c:v>
                </c:pt>
                <c:pt idx="243">
                  <c:v>1.2149989906466589</c:v>
                </c:pt>
                <c:pt idx="244">
                  <c:v>1.2199986541955452</c:v>
                </c:pt>
                <c:pt idx="245">
                  <c:v>1.2250016822555683</c:v>
                </c:pt>
                <c:pt idx="246">
                  <c:v>1.2300013458044545</c:v>
                </c:pt>
                <c:pt idx="247">
                  <c:v>1.2350010093533408</c:v>
                </c:pt>
                <c:pt idx="248">
                  <c:v>1.2400006729022273</c:v>
                </c:pt>
                <c:pt idx="249">
                  <c:v>1.2450003364511135</c:v>
                </c:pt>
                <c:pt idx="250">
                  <c:v>1.2499999999999998</c:v>
                </c:pt>
                <c:pt idx="251">
                  <c:v>1.2549996635488863</c:v>
                </c:pt>
                <c:pt idx="252">
                  <c:v>1.2599993270977725</c:v>
                </c:pt>
                <c:pt idx="253">
                  <c:v>1.264998990646659</c:v>
                </c:pt>
                <c:pt idx="254">
                  <c:v>1.2699986541955453</c:v>
                </c:pt>
                <c:pt idx="255">
                  <c:v>1.2750016822555683</c:v>
                </c:pt>
                <c:pt idx="256">
                  <c:v>1.2800013458044546</c:v>
                </c:pt>
                <c:pt idx="257">
                  <c:v>1.2850010093533408</c:v>
                </c:pt>
                <c:pt idx="258">
                  <c:v>1.2900006729022271</c:v>
                </c:pt>
                <c:pt idx="259">
                  <c:v>1.2950003364511136</c:v>
                </c:pt>
                <c:pt idx="260">
                  <c:v>1.3</c:v>
                </c:pt>
                <c:pt idx="261">
                  <c:v>1.3049996635488863</c:v>
                </c:pt>
                <c:pt idx="262">
                  <c:v>1.3099993270977726</c:v>
                </c:pt>
                <c:pt idx="263">
                  <c:v>1.3149989906466588</c:v>
                </c:pt>
                <c:pt idx="264">
                  <c:v>1.3199986541955453</c:v>
                </c:pt>
                <c:pt idx="265">
                  <c:v>1.3250016822555681</c:v>
                </c:pt>
                <c:pt idx="266">
                  <c:v>1.3300013458044544</c:v>
                </c:pt>
                <c:pt idx="267">
                  <c:v>1.3350010093533409</c:v>
                </c:pt>
                <c:pt idx="268">
                  <c:v>1.3400006729022271</c:v>
                </c:pt>
                <c:pt idx="269">
                  <c:v>1.3450003364511136</c:v>
                </c:pt>
                <c:pt idx="270">
                  <c:v>1.3499999999999999</c:v>
                </c:pt>
                <c:pt idx="271">
                  <c:v>1.3549996635488863</c:v>
                </c:pt>
                <c:pt idx="272">
                  <c:v>1.3599993270977726</c:v>
                </c:pt>
                <c:pt idx="273">
                  <c:v>1.3649989906466589</c:v>
                </c:pt>
                <c:pt idx="274">
                  <c:v>1.3699986541955451</c:v>
                </c:pt>
                <c:pt idx="275">
                  <c:v>1.3750016822555682</c:v>
                </c:pt>
                <c:pt idx="276">
                  <c:v>1.3800013458044544</c:v>
                </c:pt>
                <c:pt idx="277">
                  <c:v>1.3850010093533407</c:v>
                </c:pt>
                <c:pt idx="278">
                  <c:v>1.3900006729022272</c:v>
                </c:pt>
                <c:pt idx="279">
                  <c:v>1.3950003364511137</c:v>
                </c:pt>
                <c:pt idx="280">
                  <c:v>1.4</c:v>
                </c:pt>
                <c:pt idx="281">
                  <c:v>1.4049996635488862</c:v>
                </c:pt>
                <c:pt idx="282">
                  <c:v>1.4099993270977724</c:v>
                </c:pt>
                <c:pt idx="283">
                  <c:v>1.4149989906466589</c:v>
                </c:pt>
                <c:pt idx="284">
                  <c:v>1.4199986541955454</c:v>
                </c:pt>
                <c:pt idx="285">
                  <c:v>1.425001682255568</c:v>
                </c:pt>
                <c:pt idx="286">
                  <c:v>1.4300013458044545</c:v>
                </c:pt>
                <c:pt idx="287">
                  <c:v>1.435001009353341</c:v>
                </c:pt>
                <c:pt idx="288">
                  <c:v>1.4400006729022272</c:v>
                </c:pt>
                <c:pt idx="289">
                  <c:v>1.4450003364511135</c:v>
                </c:pt>
                <c:pt idx="290">
                  <c:v>1.45</c:v>
                </c:pt>
                <c:pt idx="291">
                  <c:v>1.4549996635488862</c:v>
                </c:pt>
                <c:pt idx="292">
                  <c:v>1.4599993270977725</c:v>
                </c:pt>
                <c:pt idx="293">
                  <c:v>1.4649989906466589</c:v>
                </c:pt>
                <c:pt idx="294">
                  <c:v>1.4699986541955452</c:v>
                </c:pt>
                <c:pt idx="295">
                  <c:v>1.475001682255568</c:v>
                </c:pt>
                <c:pt idx="296">
                  <c:v>1.4800013458044545</c:v>
                </c:pt>
                <c:pt idx="297">
                  <c:v>1.4850010093533408</c:v>
                </c:pt>
                <c:pt idx="298">
                  <c:v>1.4900006729022273</c:v>
                </c:pt>
                <c:pt idx="299">
                  <c:v>1.4950003364511135</c:v>
                </c:pt>
                <c:pt idx="300">
                  <c:v>1.4999999999999998</c:v>
                </c:pt>
                <c:pt idx="301">
                  <c:v>1.504999663548886</c:v>
                </c:pt>
                <c:pt idx="302">
                  <c:v>1.5099993270977725</c:v>
                </c:pt>
                <c:pt idx="303">
                  <c:v>1.514998990646659</c:v>
                </c:pt>
                <c:pt idx="304">
                  <c:v>1.5199986541955453</c:v>
                </c:pt>
                <c:pt idx="305">
                  <c:v>1.5250016822555683</c:v>
                </c:pt>
                <c:pt idx="306">
                  <c:v>1.5300013458044546</c:v>
                </c:pt>
                <c:pt idx="307">
                  <c:v>1.5350010093533408</c:v>
                </c:pt>
                <c:pt idx="308">
                  <c:v>1.5400006729022271</c:v>
                </c:pt>
                <c:pt idx="309">
                  <c:v>1.5450003364511136</c:v>
                </c:pt>
                <c:pt idx="310">
                  <c:v>1.5499999999999998</c:v>
                </c:pt>
                <c:pt idx="311">
                  <c:v>1.5549996635488863</c:v>
                </c:pt>
                <c:pt idx="312">
                  <c:v>1.5599993270977726</c:v>
                </c:pt>
                <c:pt idx="313">
                  <c:v>1.5649989906466588</c:v>
                </c:pt>
                <c:pt idx="314">
                  <c:v>1.5699986541955453</c:v>
                </c:pt>
                <c:pt idx="315">
                  <c:v>1.5750016822555681</c:v>
                </c:pt>
                <c:pt idx="316">
                  <c:v>1.5800013458044544</c:v>
                </c:pt>
                <c:pt idx="317">
                  <c:v>1.5850010093533409</c:v>
                </c:pt>
                <c:pt idx="318">
                  <c:v>1.5900006729022271</c:v>
                </c:pt>
                <c:pt idx="319">
                  <c:v>1.5950003364511134</c:v>
                </c:pt>
                <c:pt idx="320">
                  <c:v>1.5999999999999999</c:v>
                </c:pt>
                <c:pt idx="321">
                  <c:v>1.6049996635488863</c:v>
                </c:pt>
                <c:pt idx="322">
                  <c:v>1.6099993270977726</c:v>
                </c:pt>
                <c:pt idx="323">
                  <c:v>1.6149989906466589</c:v>
                </c:pt>
                <c:pt idx="324">
                  <c:v>1.6199986541955451</c:v>
                </c:pt>
                <c:pt idx="325">
                  <c:v>1.6250016822555682</c:v>
                </c:pt>
                <c:pt idx="326">
                  <c:v>1.6300013458044544</c:v>
                </c:pt>
                <c:pt idx="327">
                  <c:v>1.6350010093533407</c:v>
                </c:pt>
                <c:pt idx="328">
                  <c:v>1.6400006729022272</c:v>
                </c:pt>
                <c:pt idx="329">
                  <c:v>1.6450003364511137</c:v>
                </c:pt>
                <c:pt idx="330">
                  <c:v>1.65</c:v>
                </c:pt>
                <c:pt idx="331">
                  <c:v>1.6549996635488862</c:v>
                </c:pt>
                <c:pt idx="332">
                  <c:v>1.6599993270977724</c:v>
                </c:pt>
                <c:pt idx="333">
                  <c:v>1.6649989906466589</c:v>
                </c:pt>
                <c:pt idx="334">
                  <c:v>1.6699986541955454</c:v>
                </c:pt>
                <c:pt idx="335">
                  <c:v>1.675001682255568</c:v>
                </c:pt>
                <c:pt idx="336">
                  <c:v>1.6800013458044545</c:v>
                </c:pt>
                <c:pt idx="337">
                  <c:v>1.6850010093533407</c:v>
                </c:pt>
                <c:pt idx="338">
                  <c:v>1.6900006729022272</c:v>
                </c:pt>
                <c:pt idx="339">
                  <c:v>1.6950003364511135</c:v>
                </c:pt>
                <c:pt idx="340">
                  <c:v>1.7</c:v>
                </c:pt>
                <c:pt idx="341">
                  <c:v>1.7049996635488862</c:v>
                </c:pt>
                <c:pt idx="342">
                  <c:v>1.7099993270977725</c:v>
                </c:pt>
                <c:pt idx="343">
                  <c:v>1.7149989906466589</c:v>
                </c:pt>
                <c:pt idx="344">
                  <c:v>1.7199986541955452</c:v>
                </c:pt>
                <c:pt idx="345">
                  <c:v>1.7250016822555683</c:v>
                </c:pt>
                <c:pt idx="346">
                  <c:v>1.7300013458044545</c:v>
                </c:pt>
                <c:pt idx="347">
                  <c:v>1.7350010093533408</c:v>
                </c:pt>
                <c:pt idx="348">
                  <c:v>1.7400006729022273</c:v>
                </c:pt>
                <c:pt idx="349">
                  <c:v>1.7450003364511135</c:v>
                </c:pt>
                <c:pt idx="350">
                  <c:v>1.7499999999999998</c:v>
                </c:pt>
                <c:pt idx="351">
                  <c:v>1.754999663548886</c:v>
                </c:pt>
                <c:pt idx="352">
                  <c:v>1.7599993270977725</c:v>
                </c:pt>
                <c:pt idx="353">
                  <c:v>1.7649989906466588</c:v>
                </c:pt>
                <c:pt idx="354">
                  <c:v>1.769998654195545</c:v>
                </c:pt>
                <c:pt idx="355">
                  <c:v>1.7750016822555683</c:v>
                </c:pt>
                <c:pt idx="356">
                  <c:v>1.7800013458044546</c:v>
                </c:pt>
                <c:pt idx="357">
                  <c:v>1.7850010093533408</c:v>
                </c:pt>
                <c:pt idx="358">
                  <c:v>1.7900006729022271</c:v>
                </c:pt>
                <c:pt idx="359">
                  <c:v>1.7950003364511136</c:v>
                </c:pt>
                <c:pt idx="360">
                  <c:v>1.7999999999999998</c:v>
                </c:pt>
                <c:pt idx="361">
                  <c:v>1.8049996635488861</c:v>
                </c:pt>
                <c:pt idx="362">
                  <c:v>1.8099993270977723</c:v>
                </c:pt>
                <c:pt idx="363">
                  <c:v>1.8149989906466588</c:v>
                </c:pt>
                <c:pt idx="364">
                  <c:v>1.8199986541955453</c:v>
                </c:pt>
                <c:pt idx="365">
                  <c:v>1.8250016822555681</c:v>
                </c:pt>
                <c:pt idx="366">
                  <c:v>1.8300013458044544</c:v>
                </c:pt>
                <c:pt idx="367">
                  <c:v>1.8350010093533409</c:v>
                </c:pt>
                <c:pt idx="368">
                  <c:v>1.8400006729022271</c:v>
                </c:pt>
                <c:pt idx="369">
                  <c:v>1.8450003364511134</c:v>
                </c:pt>
                <c:pt idx="370">
                  <c:v>1.8499999999999996</c:v>
                </c:pt>
                <c:pt idx="371">
                  <c:v>1.8549996635488861</c:v>
                </c:pt>
                <c:pt idx="372">
                  <c:v>1.8599993270977724</c:v>
                </c:pt>
                <c:pt idx="373">
                  <c:v>1.8649989906466591</c:v>
                </c:pt>
                <c:pt idx="374">
                  <c:v>1.8699986541955453</c:v>
                </c:pt>
                <c:pt idx="375">
                  <c:v>1.8750016822555682</c:v>
                </c:pt>
                <c:pt idx="376">
                  <c:v>1.8800013458044544</c:v>
                </c:pt>
                <c:pt idx="377">
                  <c:v>1.8850010093533407</c:v>
                </c:pt>
                <c:pt idx="378">
                  <c:v>1.8900006729022272</c:v>
                </c:pt>
                <c:pt idx="379">
                  <c:v>1.8950003364511134</c:v>
                </c:pt>
                <c:pt idx="380">
                  <c:v>1.8999999999999997</c:v>
                </c:pt>
                <c:pt idx="381">
                  <c:v>1.9049996635488859</c:v>
                </c:pt>
                <c:pt idx="382">
                  <c:v>1.9099993270977726</c:v>
                </c:pt>
                <c:pt idx="383">
                  <c:v>1.9149989906466589</c:v>
                </c:pt>
                <c:pt idx="384">
                  <c:v>1.9199986541955454</c:v>
                </c:pt>
                <c:pt idx="385">
                  <c:v>1.925001682255568</c:v>
                </c:pt>
                <c:pt idx="386">
                  <c:v>1.9300013458044545</c:v>
                </c:pt>
                <c:pt idx="387">
                  <c:v>1.9350010093533407</c:v>
                </c:pt>
                <c:pt idx="388">
                  <c:v>1.940000672902227</c:v>
                </c:pt>
                <c:pt idx="389">
                  <c:v>1.9450003364511133</c:v>
                </c:pt>
                <c:pt idx="390">
                  <c:v>1.9499999999999997</c:v>
                </c:pt>
                <c:pt idx="391">
                  <c:v>1.9549996635488864</c:v>
                </c:pt>
                <c:pt idx="392">
                  <c:v>1.9599993270977727</c:v>
                </c:pt>
                <c:pt idx="393">
                  <c:v>1.9649989906466589</c:v>
                </c:pt>
                <c:pt idx="394">
                  <c:v>1.9699986541955452</c:v>
                </c:pt>
                <c:pt idx="395">
                  <c:v>1.975001682255568</c:v>
                </c:pt>
                <c:pt idx="396">
                  <c:v>1.9800013458044543</c:v>
                </c:pt>
                <c:pt idx="397">
                  <c:v>1.9850010093533408</c:v>
                </c:pt>
                <c:pt idx="398">
                  <c:v>1.990000672902227</c:v>
                </c:pt>
                <c:pt idx="399">
                  <c:v>1.9950003364511133</c:v>
                </c:pt>
                <c:pt idx="400">
                  <c:v>2</c:v>
                </c:pt>
              </c:numCache>
            </c:numRef>
          </c:xVal>
          <c:yVal>
            <c:numRef>
              <c:f>uold!$F$2:$F$402</c:f>
              <c:numCache>
                <c:formatCode>_-* #,##0.0000_-;\-* #,##0.0000_-;_-* "-"_-;_-@_-</c:formatCode>
                <c:ptCount val="401"/>
                <c:pt idx="1">
                  <c:v>6.9238810794996133E-3</c:v>
                </c:pt>
                <c:pt idx="2">
                  <c:v>2.7695583761999997E-2</c:v>
                </c:pt>
                <c:pt idx="3">
                  <c:v>6.2315063464500019E-2</c:v>
                </c:pt>
                <c:pt idx="4">
                  <c:v>0.11078221616000004</c:v>
                </c:pt>
                <c:pt idx="5">
                  <c:v>0.1730972127499999</c:v>
                </c:pt>
                <c:pt idx="6">
                  <c:v>0.24925998636000013</c:v>
                </c:pt>
                <c:pt idx="7">
                  <c:v>0.33927053699000032</c:v>
                </c:pt>
                <c:pt idx="8">
                  <c:v>0.44312886463999995</c:v>
                </c:pt>
                <c:pt idx="9">
                  <c:v>0.56082895060499971</c:v>
                </c:pt>
                <c:pt idx="10">
                  <c:v>0.69238142049999962</c:v>
                </c:pt>
                <c:pt idx="11">
                  <c:v>0.83779050970999991</c:v>
                </c:pt>
                <c:pt idx="12">
                  <c:v>0.99703994544000119</c:v>
                </c:pt>
                <c:pt idx="13">
                  <c:v>1.1701371581900011</c:v>
                </c:pt>
                <c:pt idx="14">
                  <c:v>1.3570821479599995</c:v>
                </c:pt>
                <c:pt idx="15">
                  <c:v>1.5578749147499997</c:v>
                </c:pt>
                <c:pt idx="16">
                  <c:v>1.7725154585599998</c:v>
                </c:pt>
                <c:pt idx="17">
                  <c:v>2.0010037793899977</c:v>
                </c:pt>
                <c:pt idx="18">
                  <c:v>2.2433398772399999</c:v>
                </c:pt>
                <c:pt idx="19">
                  <c:v>2.4995237521099996</c:v>
                </c:pt>
                <c:pt idx="20">
                  <c:v>2.7695554039999997</c:v>
                </c:pt>
                <c:pt idx="21">
                  <c:v>3.0534020644050011</c:v>
                </c:pt>
                <c:pt idx="22">
                  <c:v>3.3510901116000027</c:v>
                </c:pt>
                <c:pt idx="23">
                  <c:v>3.6626584071000026</c:v>
                </c:pt>
                <c:pt idx="24">
                  <c:v>3.9885021791999948</c:v>
                </c:pt>
                <c:pt idx="25">
                  <c:v>4.3278018437500041</c:v>
                </c:pt>
                <c:pt idx="26">
                  <c:v>4.6804481724000047</c:v>
                </c:pt>
                <c:pt idx="27">
                  <c:v>5.0479480705499915</c:v>
                </c:pt>
                <c:pt idx="28">
                  <c:v>5.4287946328000114</c:v>
                </c:pt>
                <c:pt idx="29">
                  <c:v>5.823490160950012</c:v>
                </c:pt>
                <c:pt idx="30">
                  <c:v>6.2327033999999877</c:v>
                </c:pt>
                <c:pt idx="31">
                  <c:v>6.655142186</c:v>
                </c:pt>
                <c:pt idx="32">
                  <c:v>7.0914314239999996</c:v>
                </c:pt>
                <c:pt idx="33">
                  <c:v>7.5423802954499841</c:v>
                </c:pt>
                <c:pt idx="34">
                  <c:v>8.0072791875999982</c:v>
                </c:pt>
                <c:pt idx="35">
                  <c:v>8.4861325587500112</c:v>
                </c:pt>
                <c:pt idx="36">
                  <c:v>8.9789448671999761</c:v>
                </c:pt>
                <c:pt idx="37">
                  <c:v>9.4857205712499741</c:v>
                </c:pt>
                <c:pt idx="38">
                  <c:v>10.006464129200008</c:v>
                </c:pt>
                <c:pt idx="39">
                  <c:v>10.542310178400001</c:v>
                </c:pt>
                <c:pt idx="40">
                  <c:v>11.092250399999996</c:v>
                </c:pt>
                <c:pt idx="41">
                  <c:v>11.655044643550038</c:v>
                </c:pt>
                <c:pt idx="42">
                  <c:v>12.234449026800057</c:v>
                </c:pt>
                <c:pt idx="43">
                  <c:v>12.82809916464997</c:v>
                </c:pt>
                <c:pt idx="44">
                  <c:v>13.436008431999962</c:v>
                </c:pt>
                <c:pt idx="45">
                  <c:v>14.05819020375</c:v>
                </c:pt>
                <c:pt idx="46">
                  <c:v>14.696230148599987</c:v>
                </c:pt>
                <c:pt idx="47">
                  <c:v>15.348707554949971</c:v>
                </c:pt>
                <c:pt idx="48">
                  <c:v>16.015640256000019</c:v>
                </c:pt>
                <c:pt idx="49">
                  <c:v>16.698830147999992</c:v>
                </c:pt>
                <c:pt idx="50">
                  <c:v>17.394800500000045</c:v>
                </c:pt>
                <c:pt idx="51">
                  <c:v>18.109146478500104</c:v>
                </c:pt>
                <c:pt idx="52">
                  <c:v>18.840335914399986</c:v>
                </c:pt>
                <c:pt idx="53">
                  <c:v>19.584455163350029</c:v>
                </c:pt>
                <c:pt idx="54">
                  <c:v>20.343463648199922</c:v>
                </c:pt>
                <c:pt idx="55">
                  <c:v>21.119635844999966</c:v>
                </c:pt>
                <c:pt idx="56">
                  <c:v>21.913245939200081</c:v>
                </c:pt>
                <c:pt idx="57">
                  <c:v>22.722162863399955</c:v>
                </c:pt>
                <c:pt idx="58">
                  <c:v>23.548921904199986</c:v>
                </c:pt>
                <c:pt idx="59">
                  <c:v>24.391232981500032</c:v>
                </c:pt>
                <c:pt idx="60">
                  <c:v>25.249136219999972</c:v>
                </c:pt>
                <c:pt idx="61">
                  <c:v>26.125436633449912</c:v>
                </c:pt>
                <c:pt idx="62">
                  <c:v>27.017592247799939</c:v>
                </c:pt>
                <c:pt idx="63">
                  <c:v>27.928596811500078</c:v>
                </c:pt>
                <c:pt idx="64">
                  <c:v>28.855734476799995</c:v>
                </c:pt>
                <c:pt idx="65">
                  <c:v>29.802193671249913</c:v>
                </c:pt>
                <c:pt idx="66">
                  <c:v>30.765078728999928</c:v>
                </c:pt>
                <c:pt idx="67">
                  <c:v>31.738971875713258</c:v>
                </c:pt>
                <c:pt idx="68">
                  <c:v>32.739368507628875</c:v>
                </c:pt>
                <c:pt idx="69">
                  <c:v>33.762237115337413</c:v>
                </c:pt>
                <c:pt idx="70">
                  <c:v>34.795211797551865</c:v>
                </c:pt>
                <c:pt idx="71">
                  <c:v>35.845091397766133</c:v>
                </c:pt>
                <c:pt idx="72">
                  <c:v>36.915786085997091</c:v>
                </c:pt>
                <c:pt idx="73">
                  <c:v>38.003717084227894</c:v>
                </c:pt>
                <c:pt idx="74">
                  <c:v>39.108946804458483</c:v>
                </c:pt>
                <c:pt idx="75">
                  <c:v>40.222183849469985</c:v>
                </c:pt>
                <c:pt idx="76">
                  <c:v>41.37124086286957</c:v>
                </c:pt>
                <c:pt idx="77">
                  <c:v>42.547419198956938</c:v>
                </c:pt>
                <c:pt idx="78">
                  <c:v>43.722939364258906</c:v>
                </c:pt>
                <c:pt idx="79">
                  <c:v>44.925351673602755</c:v>
                </c:pt>
                <c:pt idx="80">
                  <c:v>46.145915728947351</c:v>
                </c:pt>
                <c:pt idx="81">
                  <c:v>47.379827387270694</c:v>
                </c:pt>
                <c:pt idx="82">
                  <c:v>48.636787801615192</c:v>
                </c:pt>
                <c:pt idx="83">
                  <c:v>49.912112459959801</c:v>
                </c:pt>
                <c:pt idx="84">
                  <c:v>51.205872690304155</c:v>
                </c:pt>
                <c:pt idx="85">
                  <c:v>52.500474788754609</c:v>
                </c:pt>
                <c:pt idx="86">
                  <c:v>53.83171490378394</c:v>
                </c:pt>
                <c:pt idx="87">
                  <c:v>55.199333967474438</c:v>
                </c:pt>
                <c:pt idx="88">
                  <c:v>56.561806403883111</c:v>
                </c:pt>
                <c:pt idx="89">
                  <c:v>57.94869414831939</c:v>
                </c:pt>
                <c:pt idx="90">
                  <c:v>59.354443978755228</c:v>
                </c:pt>
                <c:pt idx="91">
                  <c:v>60.772973621164063</c:v>
                </c:pt>
                <c:pt idx="92">
                  <c:v>62.216525629600497</c:v>
                </c:pt>
                <c:pt idx="93">
                  <c:v>63.672725178009152</c:v>
                </c:pt>
                <c:pt idx="94">
                  <c:v>65.147792738417991</c:v>
                </c:pt>
                <c:pt idx="95">
                  <c:v>66.619379508044872</c:v>
                </c:pt>
                <c:pt idx="96">
                  <c:v>68.132829921733062</c:v>
                </c:pt>
                <c:pt idx="97">
                  <c:v>69.687839054362982</c:v>
                </c:pt>
                <c:pt idx="98">
                  <c:v>71.231922047834317</c:v>
                </c:pt>
                <c:pt idx="99">
                  <c:v>72.787631538271754</c:v>
                </c:pt>
                <c:pt idx="100">
                  <c:v>74.369448336743119</c:v>
                </c:pt>
                <c:pt idx="101">
                  <c:v>75.97029810321466</c:v>
                </c:pt>
                <c:pt idx="102">
                  <c:v>77.582512057650831</c:v>
                </c:pt>
                <c:pt idx="103">
                  <c:v>79.213579154088279</c:v>
                </c:pt>
                <c:pt idx="104">
                  <c:v>80.86355734652706</c:v>
                </c:pt>
                <c:pt idx="105">
                  <c:v>82.496554038615258</c:v>
                </c:pt>
                <c:pt idx="106">
                  <c:v>84.168179203240342</c:v>
                </c:pt>
                <c:pt idx="107">
                  <c:v>85.894587675041393</c:v>
                </c:pt>
                <c:pt idx="108">
                  <c:v>87.611494731530314</c:v>
                </c:pt>
                <c:pt idx="109">
                  <c:v>89.329616687936635</c:v>
                </c:pt>
                <c:pt idx="110">
                  <c:v>91.066013692345038</c:v>
                </c:pt>
                <c:pt idx="111">
                  <c:v>92.829886048792076</c:v>
                </c:pt>
                <c:pt idx="112">
                  <c:v>94.593811165158002</c:v>
                </c:pt>
                <c:pt idx="113">
                  <c:v>96.366323573485772</c:v>
                </c:pt>
                <c:pt idx="114">
                  <c:v>98.166271943850717</c:v>
                </c:pt>
                <c:pt idx="115">
                  <c:v>99.95074417200513</c:v>
                </c:pt>
                <c:pt idx="116">
                  <c:v>101.7776093989269</c:v>
                </c:pt>
                <c:pt idx="117">
                  <c:v>103.64588105267886</c:v>
                </c:pt>
                <c:pt idx="118">
                  <c:v>105.49748230201824</c:v>
                </c:pt>
                <c:pt idx="119">
                  <c:v>107.36668984736009</c:v>
                </c:pt>
                <c:pt idx="120">
                  <c:v>126.29965449188147</c:v>
                </c:pt>
                <c:pt idx="121">
                  <c:v>145.78818164925895</c:v>
                </c:pt>
                <c:pt idx="122">
                  <c:v>148.17451822111548</c:v>
                </c:pt>
                <c:pt idx="123">
                  <c:v>150.53470561877464</c:v>
                </c:pt>
                <c:pt idx="124">
                  <c:v>152.90080564038726</c:v>
                </c:pt>
                <c:pt idx="125">
                  <c:v>155.19679062594224</c:v>
                </c:pt>
                <c:pt idx="126">
                  <c:v>157.5026978652385</c:v>
                </c:pt>
                <c:pt idx="127">
                  <c:v>159.82661658828195</c:v>
                </c:pt>
                <c:pt idx="128">
                  <c:v>162.08545624503228</c:v>
                </c:pt>
                <c:pt idx="129">
                  <c:v>164.31861147560934</c:v>
                </c:pt>
                <c:pt idx="130">
                  <c:v>166.524252154018</c:v>
                </c:pt>
                <c:pt idx="131">
                  <c:v>168.71327373231188</c:v>
                </c:pt>
                <c:pt idx="132">
                  <c:v>170.87143110643424</c:v>
                </c:pt>
                <c:pt idx="133">
                  <c:v>172.99681836438825</c:v>
                </c:pt>
                <c:pt idx="134">
                  <c:v>175.10084589622932</c:v>
                </c:pt>
                <c:pt idx="135">
                  <c:v>177.1225568421479</c:v>
                </c:pt>
                <c:pt idx="136">
                  <c:v>179.1121498740643</c:v>
                </c:pt>
                <c:pt idx="137">
                  <c:v>181.06365472614848</c:v>
                </c:pt>
                <c:pt idx="138">
                  <c:v>182.92389267645339</c:v>
                </c:pt>
                <c:pt idx="139">
                  <c:v>184.73729713156288</c:v>
                </c:pt>
                <c:pt idx="140">
                  <c:v>186.51631740454332</c:v>
                </c:pt>
                <c:pt idx="141">
                  <c:v>188.25943769138524</c:v>
                </c:pt>
                <c:pt idx="142">
                  <c:v>189.95014051603388</c:v>
                </c:pt>
                <c:pt idx="143">
                  <c:v>191.60143471255145</c:v>
                </c:pt>
                <c:pt idx="144">
                  <c:v>193.22715538699666</c:v>
                </c:pt>
                <c:pt idx="145">
                  <c:v>194.72958656703744</c:v>
                </c:pt>
                <c:pt idx="146">
                  <c:v>196.12797652897126</c:v>
                </c:pt>
                <c:pt idx="147">
                  <c:v>197.4453817628908</c:v>
                </c:pt>
                <c:pt idx="148">
                  <c:v>198.64319089192242</c:v>
                </c:pt>
                <c:pt idx="149">
                  <c:v>199.78567049680566</c:v>
                </c:pt>
                <c:pt idx="150">
                  <c:v>200.87107740953718</c:v>
                </c:pt>
                <c:pt idx="151">
                  <c:v>201.89765063012061</c:v>
                </c:pt>
                <c:pt idx="152">
                  <c:v>202.88077987862974</c:v>
                </c:pt>
                <c:pt idx="153">
                  <c:v>203.80195319897749</c:v>
                </c:pt>
                <c:pt idx="154">
                  <c:v>204.6769838512534</c:v>
                </c:pt>
                <c:pt idx="155">
                  <c:v>205.45345597571378</c:v>
                </c:pt>
                <c:pt idx="156">
                  <c:v>206.03566455597976</c:v>
                </c:pt>
                <c:pt idx="157">
                  <c:v>206.46605753894184</c:v>
                </c:pt>
                <c:pt idx="158">
                  <c:v>206.76699484008674</c:v>
                </c:pt>
                <c:pt idx="159">
                  <c:v>207.0065381621462</c:v>
                </c:pt>
                <c:pt idx="160">
                  <c:v>207.22146141829177</c:v>
                </c:pt>
                <c:pt idx="161">
                  <c:v>207.3541283622684</c:v>
                </c:pt>
                <c:pt idx="162">
                  <c:v>207.44154102424389</c:v>
                </c:pt>
                <c:pt idx="163">
                  <c:v>207.48312878021585</c:v>
                </c:pt>
                <c:pt idx="164">
                  <c:v>207.45833465410573</c:v>
                </c:pt>
                <c:pt idx="165">
                  <c:v>207.33655295454696</c:v>
                </c:pt>
                <c:pt idx="166">
                  <c:v>207.23870991754893</c:v>
                </c:pt>
                <c:pt idx="167">
                  <c:v>207.1607635080218</c:v>
                </c:pt>
                <c:pt idx="168">
                  <c:v>206.9434336554753</c:v>
                </c:pt>
                <c:pt idx="169">
                  <c:v>206.69757629102881</c:v>
                </c:pt>
                <c:pt idx="170">
                  <c:v>206.42337201468217</c:v>
                </c:pt>
                <c:pt idx="171">
                  <c:v>206.1427393125245</c:v>
                </c:pt>
                <c:pt idx="172">
                  <c:v>205.81267354236365</c:v>
                </c:pt>
                <c:pt idx="173">
                  <c:v>205.45485764231103</c:v>
                </c:pt>
                <c:pt idx="174">
                  <c:v>205.11450392854917</c:v>
                </c:pt>
                <c:pt idx="175">
                  <c:v>204.63351031906029</c:v>
                </c:pt>
                <c:pt idx="176">
                  <c:v>203.82783853546164</c:v>
                </c:pt>
                <c:pt idx="177">
                  <c:v>202.68119184710289</c:v>
                </c:pt>
                <c:pt idx="178">
                  <c:v>201.44602422875403</c:v>
                </c:pt>
                <c:pt idx="179">
                  <c:v>200.19183239661746</c:v>
                </c:pt>
                <c:pt idx="180">
                  <c:v>198.91954818070388</c:v>
                </c:pt>
                <c:pt idx="181">
                  <c:v>197.67881060522248</c:v>
                </c:pt>
                <c:pt idx="182">
                  <c:v>196.44759111806749</c:v>
                </c:pt>
                <c:pt idx="183">
                  <c:v>195.20281197913582</c:v>
                </c:pt>
                <c:pt idx="184">
                  <c:v>193.97064804052641</c:v>
                </c:pt>
                <c:pt idx="185">
                  <c:v>192.7135456759886</c:v>
                </c:pt>
                <c:pt idx="186">
                  <c:v>190.02369154108649</c:v>
                </c:pt>
                <c:pt idx="187">
                  <c:v>185.90041094897333</c:v>
                </c:pt>
                <c:pt idx="188">
                  <c:v>181.74801572055119</c:v>
                </c:pt>
                <c:pt idx="189">
                  <c:v>177.68750484910419</c:v>
                </c:pt>
                <c:pt idx="190">
                  <c:v>173.75141985673983</c:v>
                </c:pt>
                <c:pt idx="191">
                  <c:v>169.86506995311316</c:v>
                </c:pt>
                <c:pt idx="192">
                  <c:v>166.08739753645307</c:v>
                </c:pt>
                <c:pt idx="193">
                  <c:v>162.4243277447687</c:v>
                </c:pt>
                <c:pt idx="194">
                  <c:v>158.85388980993716</c:v>
                </c:pt>
                <c:pt idx="195">
                  <c:v>155.35726702505335</c:v>
                </c:pt>
                <c:pt idx="196">
                  <c:v>149.90699396183226</c:v>
                </c:pt>
                <c:pt idx="197">
                  <c:v>142.58015015341522</c:v>
                </c:pt>
                <c:pt idx="198">
                  <c:v>135.46627442583895</c:v>
                </c:pt>
                <c:pt idx="199">
                  <c:v>128.62770362128938</c:v>
                </c:pt>
                <c:pt idx="200">
                  <c:v>122.04674455262793</c:v>
                </c:pt>
                <c:pt idx="201">
                  <c:v>115.73466788384131</c:v>
                </c:pt>
                <c:pt idx="202">
                  <c:v>109.67254769080637</c:v>
                </c:pt>
                <c:pt idx="203">
                  <c:v>103.84037913339431</c:v>
                </c:pt>
                <c:pt idx="204">
                  <c:v>98.309837899858977</c:v>
                </c:pt>
                <c:pt idx="205">
                  <c:v>92.967713355194846</c:v>
                </c:pt>
                <c:pt idx="206">
                  <c:v>87.289034647618919</c:v>
                </c:pt>
                <c:pt idx="207">
                  <c:v>81.25862538667954</c:v>
                </c:pt>
                <c:pt idx="208">
                  <c:v>75.647820909147228</c:v>
                </c:pt>
                <c:pt idx="209">
                  <c:v>70.112243840513244</c:v>
                </c:pt>
                <c:pt idx="210">
                  <c:v>64.886006093800404</c:v>
                </c:pt>
                <c:pt idx="211">
                  <c:v>59.881196808576256</c:v>
                </c:pt>
                <c:pt idx="212">
                  <c:v>54.772464403352139</c:v>
                </c:pt>
                <c:pt idx="213">
                  <c:v>50.570460222579641</c:v>
                </c:pt>
                <c:pt idx="214">
                  <c:v>46.26648666330621</c:v>
                </c:pt>
                <c:pt idx="215">
                  <c:v>42.579555499004393</c:v>
                </c:pt>
                <c:pt idx="216">
                  <c:v>39.870684187279785</c:v>
                </c:pt>
                <c:pt idx="217">
                  <c:v>37.091415232627099</c:v>
                </c:pt>
                <c:pt idx="218">
                  <c:v>34.608825599595448</c:v>
                </c:pt>
                <c:pt idx="219">
                  <c:v>32.075857046564344</c:v>
                </c:pt>
                <c:pt idx="220">
                  <c:v>29.851813335172981</c:v>
                </c:pt>
                <c:pt idx="221">
                  <c:v>27.583231123771458</c:v>
                </c:pt>
                <c:pt idx="222">
                  <c:v>25.269798352364695</c:v>
                </c:pt>
                <c:pt idx="223">
                  <c:v>23.650274024228462</c:v>
                </c:pt>
                <c:pt idx="224">
                  <c:v>21.618429740224492</c:v>
                </c:pt>
                <c:pt idx="225">
                  <c:v>19.931655115500746</c:v>
                </c:pt>
                <c:pt idx="226">
                  <c:v>18.977333088990601</c:v>
                </c:pt>
                <c:pt idx="227">
                  <c:v>17.61398336187435</c:v>
                </c:pt>
                <c:pt idx="228">
                  <c:v>16.224329594763955</c:v>
                </c:pt>
                <c:pt idx="229">
                  <c:v>14.808193467636771</c:v>
                </c:pt>
                <c:pt idx="230">
                  <c:v>13.758496562302456</c:v>
                </c:pt>
                <c:pt idx="231">
                  <c:v>13.085336938738807</c:v>
                </c:pt>
                <c:pt idx="232">
                  <c:v>12.398936135174855</c:v>
                </c:pt>
                <c:pt idx="233">
                  <c:v>11.295784129840692</c:v>
                </c:pt>
                <c:pt idx="234">
                  <c:v>10.1688509930172</c:v>
                </c:pt>
                <c:pt idx="235">
                  <c:v>9.4355226888244736</c:v>
                </c:pt>
                <c:pt idx="236">
                  <c:v>8.6914363607000897</c:v>
                </c:pt>
                <c:pt idx="237">
                  <c:v>8.3478510387601723</c:v>
                </c:pt>
                <c:pt idx="238">
                  <c:v>7.5765967548919182</c:v>
                </c:pt>
                <c:pt idx="239">
                  <c:v>6.7914622710057033</c:v>
                </c:pt>
                <c:pt idx="240">
                  <c:v>6.8484096310056719</c:v>
                </c:pt>
                <c:pt idx="241">
                  <c:v>6.0423954071374864</c:v>
                </c:pt>
                <c:pt idx="242">
                  <c:v>5.2222632232510149</c:v>
                </c:pt>
                <c:pt idx="243">
                  <c:v>5.2655087032573018</c:v>
                </c:pt>
                <c:pt idx="244">
                  <c:v>4.8648845553491222</c:v>
                </c:pt>
                <c:pt idx="245">
                  <c:v>4.0130727252776319</c:v>
                </c:pt>
                <c:pt idx="246">
                  <c:v>4.0472584389332207</c:v>
                </c:pt>
                <c:pt idx="247">
                  <c:v>4.0802275989203887</c:v>
                </c:pt>
                <c:pt idx="248">
                  <c:v>3.1992570547100447</c:v>
                </c:pt>
                <c:pt idx="249">
                  <c:v>3.2251077747230537</c:v>
                </c:pt>
                <c:pt idx="250">
                  <c:v>3.2510625147230092</c:v>
                </c:pt>
                <c:pt idx="251">
                  <c:v>2.8089610926244908</c:v>
                </c:pt>
                <c:pt idx="252">
                  <c:v>2.3594886105193815</c:v>
                </c:pt>
                <c:pt idx="253">
                  <c:v>2.3782506105126582</c:v>
                </c:pt>
                <c:pt idx="254">
                  <c:v>2.3962806249657724</c:v>
                </c:pt>
                <c:pt idx="255">
                  <c:v>1.9321580886131835</c:v>
                </c:pt>
                <c:pt idx="256">
                  <c:v>1.9479961691006442</c:v>
                </c:pt>
                <c:pt idx="257">
                  <c:v>1.4724326768167788</c:v>
                </c:pt>
                <c:pt idx="258">
                  <c:v>1.4839128068237539</c:v>
                </c:pt>
                <c:pt idx="259">
                  <c:v>1.9939166891006626</c:v>
                </c:pt>
                <c:pt idx="260">
                  <c:v>1.5070068068237263</c:v>
                </c:pt>
                <c:pt idx="261">
                  <c:v>1.0124137845467727</c:v>
                </c:pt>
                <c:pt idx="262">
                  <c:v>1.5302791268310048</c:v>
                </c:pt>
                <c:pt idx="263">
                  <c:v>1.5419821568237568</c:v>
                </c:pt>
                <c:pt idx="264">
                  <c:v>1.0354714355845311</c:v>
                </c:pt>
                <c:pt idx="265">
                  <c:v>1.0433355498805239</c:v>
                </c:pt>
                <c:pt idx="266">
                  <c:v>1.0515778049033437</c:v>
                </c:pt>
                <c:pt idx="267">
                  <c:v>1.0594987249033252</c:v>
                </c:pt>
                <c:pt idx="268">
                  <c:v>0.53372468245543547</c:v>
                </c:pt>
                <c:pt idx="269">
                  <c:v>0.53771486245545452</c:v>
                </c:pt>
                <c:pt idx="270">
                  <c:v>1.0834398049109679</c:v>
                </c:pt>
                <c:pt idx="271">
                  <c:v>0.54573980245550313</c:v>
                </c:pt>
                <c:pt idx="272">
                  <c:v>0.54977456244770972</c:v>
                </c:pt>
                <c:pt idx="273">
                  <c:v>1.1076483649032134</c:v>
                </c:pt>
                <c:pt idx="274">
                  <c:v>0.55770101070229039</c:v>
                </c:pt>
                <c:pt idx="275">
                  <c:v>0.56178172783315428</c:v>
                </c:pt>
                <c:pt idx="276">
                  <c:v>0.56606496264066075</c:v>
                </c:pt>
                <c:pt idx="277">
                  <c:v>0</c:v>
                </c:pt>
                <c:pt idx="278">
                  <c:v>0.57429796262436694</c:v>
                </c:pt>
                <c:pt idx="279">
                  <c:v>0.57843675262427996</c:v>
                </c:pt>
                <c:pt idx="280">
                  <c:v>0</c:v>
                </c:pt>
                <c:pt idx="281">
                  <c:v>0.58675891264075974</c:v>
                </c:pt>
                <c:pt idx="282">
                  <c:v>0.59094228264077986</c:v>
                </c:pt>
                <c:pt idx="283">
                  <c:v>0</c:v>
                </c:pt>
                <c:pt idx="284">
                  <c:v>0.59915200372479349</c:v>
                </c:pt>
                <c:pt idx="285">
                  <c:v>0.60338138084227511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0.62064484281507215</c:v>
                </c:pt>
                <c:pt idx="290">
                  <c:v>0.62494710281497046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0.64646673394186627</c:v>
                </c:pt>
                <c:pt idx="296">
                  <c:v>0.65107568303136465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0.70493500323688341</c:v>
                </c:pt>
                <c:pt idx="309">
                  <c:v>0.70951962323690532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55168"/>
        <c:axId val="180856704"/>
      </c:scatterChart>
      <c:valAx>
        <c:axId val="180855168"/>
        <c:scaling>
          <c:orientation val="minMax"/>
        </c:scaling>
        <c:delete val="0"/>
        <c:axPos val="b"/>
        <c:numFmt formatCode="0.000%" sourceLinked="1"/>
        <c:majorTickMark val="out"/>
        <c:minorTickMark val="none"/>
        <c:tickLblPos val="nextTo"/>
        <c:crossAx val="180856704"/>
        <c:crosses val="autoZero"/>
        <c:crossBetween val="midCat"/>
      </c:valAx>
      <c:valAx>
        <c:axId val="180856704"/>
        <c:scaling>
          <c:orientation val="minMax"/>
        </c:scaling>
        <c:delete val="0"/>
        <c:axPos val="l"/>
        <c:majorGridlines/>
        <c:numFmt formatCode="_-* #,##0.0000_-;\-* #,##0.0000_-;_-* &quot;-&quot;_-;_-@_-" sourceLinked="1"/>
        <c:majorTickMark val="out"/>
        <c:minorTickMark val="none"/>
        <c:tickLblPos val="nextTo"/>
        <c:crossAx val="1808551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252411</xdr:colOff>
      <xdr:row>0</xdr:row>
      <xdr:rowOff>171451</xdr:rowOff>
    </xdr:from>
    <xdr:to>
      <xdr:col>18</xdr:col>
      <xdr:colOff>238125</xdr:colOff>
      <xdr:row>20</xdr:row>
      <xdr:rowOff>85725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171450</xdr:colOff>
      <xdr:row>4</xdr:row>
      <xdr:rowOff>152400</xdr:rowOff>
    </xdr:from>
    <xdr:to>
      <xdr:col>18</xdr:col>
      <xdr:colOff>614363</xdr:colOff>
      <xdr:row>20</xdr:row>
      <xdr:rowOff>104775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152400</xdr:colOff>
      <xdr:row>21</xdr:row>
      <xdr:rowOff>9525</xdr:rowOff>
    </xdr:from>
    <xdr:to>
      <xdr:col>18</xdr:col>
      <xdr:colOff>595313</xdr:colOff>
      <xdr:row>36</xdr:row>
      <xdr:rowOff>171450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02"/>
  <sheetViews>
    <sheetView tabSelected="1" workbookViewId="0">
      <pane ySplit="1" topLeftCell="A2" activePane="bottomLeft" state="frozen"/>
      <selection pane="bottomLeft" activeCell="H123" sqref="H123"/>
    </sheetView>
  </sheetViews>
  <sheetFormatPr defaultRowHeight="16.5" x14ac:dyDescent="0.3"/>
  <cols>
    <col min="2" max="2" width="9.5" bestFit="1" customWidth="1"/>
    <col min="3" max="4" width="12.875" bestFit="1" customWidth="1"/>
    <col min="5" max="6" width="12.875" customWidth="1"/>
    <col min="7" max="7" width="18.125" style="6" bestFit="1" customWidth="1"/>
    <col min="8" max="8" width="15.875" customWidth="1"/>
    <col min="9" max="9" width="19.75" customWidth="1"/>
  </cols>
  <sheetData>
    <row r="1" spans="1:9" x14ac:dyDescent="0.3">
      <c r="A1" t="s">
        <v>0</v>
      </c>
      <c r="B1" t="s">
        <v>2</v>
      </c>
      <c r="C1" t="s">
        <v>1</v>
      </c>
      <c r="D1" t="s">
        <v>3</v>
      </c>
      <c r="E1" t="s">
        <v>6</v>
      </c>
      <c r="F1" t="s">
        <v>7</v>
      </c>
      <c r="G1" s="6" t="s">
        <v>4</v>
      </c>
      <c r="H1" t="s">
        <v>8</v>
      </c>
      <c r="I1" t="s">
        <v>5</v>
      </c>
    </row>
    <row r="2" spans="1:9" x14ac:dyDescent="0.3">
      <c r="A2">
        <v>0</v>
      </c>
      <c r="B2" s="3">
        <f>A2/$A$202</f>
        <v>0</v>
      </c>
      <c r="C2" s="1">
        <v>5.2041700000000003E-16</v>
      </c>
      <c r="D2" s="4">
        <f>C2*100</f>
        <v>5.2041700000000002E-14</v>
      </c>
      <c r="E2" s="4"/>
      <c r="F2" s="4"/>
    </row>
    <row r="3" spans="1:9" x14ac:dyDescent="0.3">
      <c r="A3">
        <v>1.4861</v>
      </c>
      <c r="B3" s="3">
        <f>A3/$A$202</f>
        <v>4.9999999999999992E-3</v>
      </c>
      <c r="C3">
        <v>4.6590900000000003E-3</v>
      </c>
      <c r="D3" s="4">
        <f t="shared" ref="D3:D66" si="0">C3*100</f>
        <v>0.46590900000000002</v>
      </c>
      <c r="E3" s="4">
        <f>(D4-D2)/(A4-A2)</f>
        <v>0.31351154027318079</v>
      </c>
      <c r="F3" s="4">
        <f>E3*0.01*A3*A3</f>
        <v>6.9238810794996133E-3</v>
      </c>
      <c r="H3" s="5"/>
      <c r="I3" s="7"/>
    </row>
    <row r="4" spans="1:9" x14ac:dyDescent="0.3">
      <c r="A4">
        <v>2.9722</v>
      </c>
      <c r="B4" s="3">
        <f>A4/$A$202</f>
        <v>9.9999999999999985E-3</v>
      </c>
      <c r="C4">
        <v>9.3181900000000005E-3</v>
      </c>
      <c r="D4" s="4">
        <f t="shared" si="0"/>
        <v>0.93181900000000006</v>
      </c>
      <c r="E4" s="4">
        <f t="shared" ref="E4:E67" si="1">(D5-D3)/(A5-A3)</f>
        <v>0.31351221317542555</v>
      </c>
      <c r="F4" s="4">
        <f t="shared" ref="F4:F67" si="2">E4*0.01*A4*A4</f>
        <v>2.7695583761999997E-2</v>
      </c>
      <c r="G4" s="6">
        <f>(E5-E3)/(A5-A3)</f>
        <v>2.2639870966599375E-7</v>
      </c>
      <c r="H4" s="5">
        <f>G4*A4*0.01*A4</f>
        <v>2.0000000522004343E-8</v>
      </c>
      <c r="I4" s="7">
        <f t="shared" ref="I4:I67" si="3">ROUND(H4,6)</f>
        <v>0</v>
      </c>
    </row>
    <row r="5" spans="1:9" x14ac:dyDescent="0.3">
      <c r="A5">
        <v>4.4583000000000004</v>
      </c>
      <c r="B5" s="3">
        <f>A5/$A$202</f>
        <v>1.4999999999999999E-2</v>
      </c>
      <c r="C5">
        <v>1.39773E-2</v>
      </c>
      <c r="D5" s="4">
        <f t="shared" si="0"/>
        <v>1.3977299999999999</v>
      </c>
      <c r="E5" s="4">
        <f t="shared" si="1"/>
        <v>0.31351221317542566</v>
      </c>
      <c r="F5" s="4">
        <f t="shared" si="2"/>
        <v>6.2315063464500019E-2</v>
      </c>
      <c r="G5" s="6">
        <f>(E6-E4)/(A6-A4)</f>
        <v>-1.1319935181669553E-7</v>
      </c>
      <c r="H5" s="5">
        <f t="shared" ref="H5:H68" si="4">G5*A5*0.01*A5</f>
        <v>-2.2499999987721599E-8</v>
      </c>
      <c r="I5" s="7">
        <f t="shared" si="3"/>
        <v>0</v>
      </c>
    </row>
    <row r="6" spans="1:9" x14ac:dyDescent="0.3">
      <c r="A6">
        <v>5.9443999999999999</v>
      </c>
      <c r="B6" s="3">
        <f>A6/$A$202</f>
        <v>1.9999999999999997E-2</v>
      </c>
      <c r="C6">
        <v>1.8636400000000001E-2</v>
      </c>
      <c r="D6" s="4">
        <f t="shared" si="0"/>
        <v>1.8636400000000002</v>
      </c>
      <c r="E6" s="4">
        <f t="shared" si="1"/>
        <v>0.31351187672431208</v>
      </c>
      <c r="F6" s="4">
        <f t="shared" si="2"/>
        <v>0.11078221616000004</v>
      </c>
      <c r="G6" s="6">
        <f t="shared" ref="G6:G69" si="5">(E7-E5)/(A7-A5)</f>
        <v>-1.1319935196610984E-7</v>
      </c>
      <c r="H6" s="5">
        <f t="shared" si="4"/>
        <v>-4.0000000030968597E-8</v>
      </c>
      <c r="I6" s="7">
        <f t="shared" si="3"/>
        <v>0</v>
      </c>
    </row>
    <row r="7" spans="1:9" x14ac:dyDescent="0.3">
      <c r="A7">
        <v>7.4305000000000003</v>
      </c>
      <c r="B7" s="3">
        <f>A7/$A$202</f>
        <v>2.4999999999999998E-2</v>
      </c>
      <c r="C7">
        <v>2.32955E-2</v>
      </c>
      <c r="D7" s="4">
        <f t="shared" si="0"/>
        <v>2.3295500000000002</v>
      </c>
      <c r="E7" s="4">
        <f t="shared" si="1"/>
        <v>0.31351187672431174</v>
      </c>
      <c r="F7" s="4">
        <f t="shared" si="2"/>
        <v>0.1730972127499999</v>
      </c>
      <c r="G7" s="6">
        <f t="shared" si="5"/>
        <v>0</v>
      </c>
      <c r="H7" s="5">
        <f t="shared" si="4"/>
        <v>0</v>
      </c>
      <c r="I7" s="7">
        <f t="shared" si="3"/>
        <v>0</v>
      </c>
    </row>
    <row r="8" spans="1:9" x14ac:dyDescent="0.3">
      <c r="A8">
        <v>8.9166000000000007</v>
      </c>
      <c r="B8" s="3">
        <f>A8/$A$202</f>
        <v>0.03</v>
      </c>
      <c r="C8">
        <v>2.79546E-2</v>
      </c>
      <c r="D8" s="4">
        <f t="shared" si="0"/>
        <v>2.7954599999999998</v>
      </c>
      <c r="E8" s="4">
        <f t="shared" si="1"/>
        <v>0.31351187672431208</v>
      </c>
      <c r="F8" s="4">
        <f t="shared" si="2"/>
        <v>0.24925998636000013</v>
      </c>
      <c r="G8" s="6">
        <f t="shared" si="5"/>
        <v>1.6809109786734426E-16</v>
      </c>
      <c r="H8" s="5">
        <f t="shared" si="4"/>
        <v>1.3364209738853112E-16</v>
      </c>
      <c r="I8" s="7">
        <f t="shared" si="3"/>
        <v>0</v>
      </c>
    </row>
    <row r="9" spans="1:9" x14ac:dyDescent="0.3">
      <c r="A9">
        <v>10.402699999999999</v>
      </c>
      <c r="B9" s="3">
        <f>A9/$A$202</f>
        <v>3.4999999999999996E-2</v>
      </c>
      <c r="C9">
        <v>3.2613700000000002E-2</v>
      </c>
      <c r="D9" s="4">
        <f t="shared" si="0"/>
        <v>3.2613700000000003</v>
      </c>
      <c r="E9" s="4">
        <f t="shared" si="1"/>
        <v>0.31351187672431224</v>
      </c>
      <c r="F9" s="4">
        <f t="shared" si="2"/>
        <v>0.33927053699000032</v>
      </c>
      <c r="G9" s="6">
        <f t="shared" si="5"/>
        <v>-5.6030365955781424E-17</v>
      </c>
      <c r="H9" s="5">
        <f t="shared" si="4"/>
        <v>-6.0633914555907631E-17</v>
      </c>
      <c r="I9" s="7">
        <f t="shared" si="3"/>
        <v>0</v>
      </c>
    </row>
    <row r="10" spans="1:9" x14ac:dyDescent="0.3">
      <c r="A10">
        <v>11.8888</v>
      </c>
      <c r="B10" s="3">
        <f>A10/$A$202</f>
        <v>3.9999999999999994E-2</v>
      </c>
      <c r="C10">
        <v>3.7272800000000002E-2</v>
      </c>
      <c r="D10" s="4">
        <f t="shared" si="0"/>
        <v>3.7272800000000004</v>
      </c>
      <c r="E10" s="4">
        <f t="shared" si="1"/>
        <v>0.31351187672431191</v>
      </c>
      <c r="F10" s="4">
        <f t="shared" si="2"/>
        <v>0.44312886463999995</v>
      </c>
      <c r="G10" s="6">
        <f t="shared" si="5"/>
        <v>-1.1319935189513801E-6</v>
      </c>
      <c r="H10" s="5">
        <f t="shared" si="4"/>
        <v>-1.6000000002356028E-6</v>
      </c>
      <c r="I10" s="7">
        <f t="shared" si="3"/>
        <v>-1.9999999999999999E-6</v>
      </c>
    </row>
    <row r="11" spans="1:9" x14ac:dyDescent="0.3">
      <c r="A11">
        <v>13.3749</v>
      </c>
      <c r="B11" s="3">
        <f>A11/$A$202</f>
        <v>4.4999999999999998E-2</v>
      </c>
      <c r="C11">
        <v>4.1931900000000001E-2</v>
      </c>
      <c r="D11" s="4">
        <f t="shared" si="0"/>
        <v>4.1931900000000004</v>
      </c>
      <c r="E11" s="4">
        <f t="shared" si="1"/>
        <v>0.31350851221317522</v>
      </c>
      <c r="F11" s="4">
        <f t="shared" si="2"/>
        <v>0.56082895060499971</v>
      </c>
      <c r="G11" s="6">
        <f t="shared" si="5"/>
        <v>-1.1319935188393194E-6</v>
      </c>
      <c r="H11" s="5">
        <f t="shared" si="4"/>
        <v>-2.0250000000977219E-6</v>
      </c>
      <c r="I11" s="7">
        <f t="shared" si="3"/>
        <v>-1.9999999999999999E-6</v>
      </c>
    </row>
    <row r="12" spans="1:9" x14ac:dyDescent="0.3">
      <c r="A12">
        <v>14.861000000000001</v>
      </c>
      <c r="B12" s="3">
        <f>A12/$A$202</f>
        <v>4.9999999999999996E-2</v>
      </c>
      <c r="C12">
        <v>4.6590899999999998E-2</v>
      </c>
      <c r="D12" s="4">
        <f t="shared" si="0"/>
        <v>4.65909</v>
      </c>
      <c r="E12" s="4">
        <f t="shared" si="1"/>
        <v>0.31350851221317522</v>
      </c>
      <c r="F12" s="4">
        <f t="shared" si="2"/>
        <v>0.69238142049999962</v>
      </c>
      <c r="G12" s="6">
        <f t="shared" si="5"/>
        <v>1.1319935188393194E-6</v>
      </c>
      <c r="H12" s="5">
        <f t="shared" si="4"/>
        <v>2.500000000120644E-6</v>
      </c>
      <c r="I12" s="7">
        <f t="shared" si="3"/>
        <v>3.0000000000000001E-6</v>
      </c>
    </row>
    <row r="13" spans="1:9" x14ac:dyDescent="0.3">
      <c r="A13">
        <v>16.347100000000001</v>
      </c>
      <c r="B13" s="3">
        <f>A13/$A$202</f>
        <v>5.5E-2</v>
      </c>
      <c r="C13">
        <v>5.1249999999999997E-2</v>
      </c>
      <c r="D13" s="4">
        <f t="shared" si="0"/>
        <v>5.125</v>
      </c>
      <c r="E13" s="4">
        <f t="shared" si="1"/>
        <v>0.31351187672431191</v>
      </c>
      <c r="F13" s="4">
        <f t="shared" si="2"/>
        <v>0.83779050970999991</v>
      </c>
      <c r="G13" s="6">
        <f t="shared" si="5"/>
        <v>1.131993518970057E-6</v>
      </c>
      <c r="H13" s="5">
        <f t="shared" si="4"/>
        <v>3.0250000004953468E-6</v>
      </c>
      <c r="I13" s="7">
        <f t="shared" si="3"/>
        <v>3.0000000000000001E-6</v>
      </c>
    </row>
    <row r="14" spans="1:9" x14ac:dyDescent="0.3">
      <c r="A14">
        <v>17.833200000000001</v>
      </c>
      <c r="B14" s="3">
        <f>A14/$A$202</f>
        <v>0.06</v>
      </c>
      <c r="C14">
        <v>5.5909100000000003E-2</v>
      </c>
      <c r="D14" s="4">
        <f t="shared" si="0"/>
        <v>5.59091</v>
      </c>
      <c r="E14" s="4">
        <f t="shared" si="1"/>
        <v>0.3135118767243123</v>
      </c>
      <c r="F14" s="4">
        <f t="shared" si="2"/>
        <v>0.99703994544000119</v>
      </c>
      <c r="G14" s="6">
        <f t="shared" si="5"/>
        <v>1.3073752056349006E-16</v>
      </c>
      <c r="H14" s="5">
        <f t="shared" si="4"/>
        <v>4.1577541409765264E-16</v>
      </c>
      <c r="I14" s="7">
        <f t="shared" si="3"/>
        <v>0</v>
      </c>
    </row>
    <row r="15" spans="1:9" x14ac:dyDescent="0.3">
      <c r="A15">
        <v>19.319299999999998</v>
      </c>
      <c r="B15" s="3">
        <f>A15/$A$202</f>
        <v>6.4999999999999988E-2</v>
      </c>
      <c r="C15">
        <v>6.0568200000000003E-2</v>
      </c>
      <c r="D15" s="4">
        <f t="shared" si="0"/>
        <v>6.0568200000000001</v>
      </c>
      <c r="E15" s="4">
        <f t="shared" si="1"/>
        <v>0.3135118767243123</v>
      </c>
      <c r="F15" s="4">
        <f t="shared" si="2"/>
        <v>1.1701371581900011</v>
      </c>
      <c r="G15" s="6">
        <f t="shared" si="5"/>
        <v>-1.3073752056349006E-16</v>
      </c>
      <c r="H15" s="5">
        <f t="shared" si="4"/>
        <v>-4.8795864571182824E-16</v>
      </c>
      <c r="I15" s="7">
        <f t="shared" si="3"/>
        <v>0</v>
      </c>
    </row>
    <row r="16" spans="1:9" x14ac:dyDescent="0.3">
      <c r="A16">
        <v>20.805399999999999</v>
      </c>
      <c r="B16" s="3">
        <f>A16/$A$202</f>
        <v>6.9999999999999993E-2</v>
      </c>
      <c r="C16">
        <v>6.5227300000000002E-2</v>
      </c>
      <c r="D16" s="4">
        <f t="shared" si="0"/>
        <v>6.5227300000000001</v>
      </c>
      <c r="E16" s="4">
        <f t="shared" si="1"/>
        <v>0.31351187672431191</v>
      </c>
      <c r="F16" s="4">
        <f t="shared" si="2"/>
        <v>1.3570821479599995</v>
      </c>
      <c r="G16" s="6">
        <f t="shared" si="5"/>
        <v>-1.3073752056348991E-16</v>
      </c>
      <c r="H16" s="5">
        <f t="shared" si="4"/>
        <v>-5.6591653585513751E-16</v>
      </c>
      <c r="I16" s="7">
        <f t="shared" si="3"/>
        <v>0</v>
      </c>
    </row>
    <row r="17" spans="1:9" x14ac:dyDescent="0.3">
      <c r="A17">
        <v>22.291499999999999</v>
      </c>
      <c r="B17" s="3">
        <f>A17/$A$202</f>
        <v>7.4999999999999997E-2</v>
      </c>
      <c r="C17">
        <v>6.9886400000000001E-2</v>
      </c>
      <c r="D17" s="4">
        <f t="shared" si="0"/>
        <v>6.9886400000000002</v>
      </c>
      <c r="E17" s="4">
        <f t="shared" si="1"/>
        <v>0.31351187672431191</v>
      </c>
      <c r="F17" s="4">
        <f t="shared" si="2"/>
        <v>1.5578749147499997</v>
      </c>
      <c r="G17" s="6">
        <f t="shared" si="5"/>
        <v>0</v>
      </c>
      <c r="H17" s="5">
        <f t="shared" si="4"/>
        <v>0</v>
      </c>
      <c r="I17" s="7">
        <f t="shared" si="3"/>
        <v>0</v>
      </c>
    </row>
    <row r="18" spans="1:9" x14ac:dyDescent="0.3">
      <c r="A18">
        <v>23.7776</v>
      </c>
      <c r="B18" s="3">
        <f>A18/$A$202</f>
        <v>7.9999999999999988E-2</v>
      </c>
      <c r="C18">
        <v>7.4545500000000001E-2</v>
      </c>
      <c r="D18" s="4">
        <f t="shared" si="0"/>
        <v>7.4545500000000002</v>
      </c>
      <c r="E18" s="4">
        <f t="shared" si="1"/>
        <v>0.31351187672431191</v>
      </c>
      <c r="F18" s="4">
        <f t="shared" si="2"/>
        <v>1.7725154585599998</v>
      </c>
      <c r="G18" s="6">
        <f t="shared" si="5"/>
        <v>-1.1206073191156277E-16</v>
      </c>
      <c r="H18" s="5">
        <f t="shared" si="4"/>
        <v>-6.335625357678508E-16</v>
      </c>
      <c r="I18" s="7">
        <f t="shared" si="3"/>
        <v>0</v>
      </c>
    </row>
    <row r="19" spans="1:9" x14ac:dyDescent="0.3">
      <c r="A19">
        <v>25.2637</v>
      </c>
      <c r="B19" s="3">
        <f>A19/$A$202</f>
        <v>8.4999999999999992E-2</v>
      </c>
      <c r="C19">
        <v>7.92046E-2</v>
      </c>
      <c r="D19" s="4">
        <f t="shared" si="0"/>
        <v>7.9204600000000003</v>
      </c>
      <c r="E19" s="4">
        <f t="shared" si="1"/>
        <v>0.31351187672431158</v>
      </c>
      <c r="F19" s="4">
        <f t="shared" si="2"/>
        <v>2.0010037793899977</v>
      </c>
      <c r="G19" s="6">
        <f t="shared" si="5"/>
        <v>0</v>
      </c>
      <c r="H19" s="5">
        <f t="shared" si="4"/>
        <v>0</v>
      </c>
      <c r="I19" s="7">
        <f t="shared" si="3"/>
        <v>0</v>
      </c>
    </row>
    <row r="20" spans="1:9" x14ac:dyDescent="0.3">
      <c r="A20">
        <v>26.7498</v>
      </c>
      <c r="B20" s="3">
        <f>A20/$A$202</f>
        <v>0.09</v>
      </c>
      <c r="C20">
        <v>8.3863699999999999E-2</v>
      </c>
      <c r="D20" s="4">
        <f t="shared" si="0"/>
        <v>8.3863699999999994</v>
      </c>
      <c r="E20" s="4">
        <f t="shared" si="1"/>
        <v>0.31351187672431191</v>
      </c>
      <c r="F20" s="4">
        <f t="shared" si="2"/>
        <v>2.2433398772399999</v>
      </c>
      <c r="G20" s="6">
        <f t="shared" si="5"/>
        <v>1.1206073191156277E-16</v>
      </c>
      <c r="H20" s="5">
        <f t="shared" si="4"/>
        <v>8.018525843311862E-16</v>
      </c>
      <c r="I20" s="7">
        <f t="shared" si="3"/>
        <v>0</v>
      </c>
    </row>
    <row r="21" spans="1:9" x14ac:dyDescent="0.3">
      <c r="A21">
        <v>28.235900000000001</v>
      </c>
      <c r="B21" s="3">
        <f>A21/$A$202</f>
        <v>9.5000000000000001E-2</v>
      </c>
      <c r="C21">
        <v>8.8522799999999999E-2</v>
      </c>
      <c r="D21" s="4">
        <f t="shared" si="0"/>
        <v>8.8522800000000004</v>
      </c>
      <c r="E21" s="4">
        <f t="shared" si="1"/>
        <v>0.31351187672431191</v>
      </c>
      <c r="F21" s="4">
        <f t="shared" si="2"/>
        <v>2.4995237521099996</v>
      </c>
      <c r="G21" s="6">
        <f t="shared" si="5"/>
        <v>0</v>
      </c>
      <c r="H21" s="5">
        <f t="shared" si="4"/>
        <v>0</v>
      </c>
      <c r="I21" s="7">
        <f t="shared" si="3"/>
        <v>0</v>
      </c>
    </row>
    <row r="22" spans="1:9" x14ac:dyDescent="0.3">
      <c r="A22">
        <v>29.722000000000001</v>
      </c>
      <c r="B22" s="3">
        <f>A22/$A$202</f>
        <v>9.9999999999999992E-2</v>
      </c>
      <c r="C22">
        <v>9.3181899999999998E-2</v>
      </c>
      <c r="D22" s="4">
        <f t="shared" si="0"/>
        <v>9.3181899999999995</v>
      </c>
      <c r="E22" s="4">
        <f t="shared" si="1"/>
        <v>0.31351187672431191</v>
      </c>
      <c r="F22" s="4">
        <f t="shared" si="2"/>
        <v>2.7695554039999997</v>
      </c>
      <c r="G22" s="6">
        <f t="shared" si="5"/>
        <v>-1.1319935187459355E-6</v>
      </c>
      <c r="H22" s="5">
        <f t="shared" si="4"/>
        <v>-9.999999999657625E-6</v>
      </c>
      <c r="I22" s="7">
        <f t="shared" si="3"/>
        <v>-1.0000000000000001E-5</v>
      </c>
    </row>
    <row r="23" spans="1:9" x14ac:dyDescent="0.3">
      <c r="A23">
        <v>31.208100000000002</v>
      </c>
      <c r="B23" s="3">
        <f>A23/$A$202</f>
        <v>0.105</v>
      </c>
      <c r="C23">
        <v>9.7840999999999997E-2</v>
      </c>
      <c r="D23" s="4">
        <f t="shared" si="0"/>
        <v>9.7841000000000005</v>
      </c>
      <c r="E23" s="4">
        <f t="shared" si="1"/>
        <v>0.31350851221317549</v>
      </c>
      <c r="F23" s="4">
        <f t="shared" si="2"/>
        <v>3.0534020644050011</v>
      </c>
      <c r="G23" s="6">
        <f t="shared" si="5"/>
        <v>-2.2639870374918709E-6</v>
      </c>
      <c r="H23" s="5">
        <f t="shared" si="4"/>
        <v>-2.2049999999245064E-5</v>
      </c>
      <c r="I23" s="7">
        <f t="shared" si="3"/>
        <v>-2.1999999999999999E-5</v>
      </c>
    </row>
    <row r="24" spans="1:9" x14ac:dyDescent="0.3">
      <c r="A24">
        <v>32.694200000000002</v>
      </c>
      <c r="B24" s="3">
        <f>A24/$A$202</f>
        <v>0.11</v>
      </c>
      <c r="C24">
        <v>0.10249999999999999</v>
      </c>
      <c r="D24" s="4">
        <f t="shared" si="0"/>
        <v>10.25</v>
      </c>
      <c r="E24" s="4">
        <f t="shared" si="1"/>
        <v>0.31350514770203908</v>
      </c>
      <c r="F24" s="4">
        <f t="shared" si="2"/>
        <v>3.3510901116000027</v>
      </c>
      <c r="G24" s="6">
        <f t="shared" si="5"/>
        <v>-1.1319935187459355E-6</v>
      </c>
      <c r="H24" s="5">
        <f t="shared" si="4"/>
        <v>-1.2099999999585727E-5</v>
      </c>
      <c r="I24" s="7">
        <f t="shared" si="3"/>
        <v>-1.2E-5</v>
      </c>
    </row>
    <row r="25" spans="1:9" x14ac:dyDescent="0.3">
      <c r="A25">
        <v>34.180300000000003</v>
      </c>
      <c r="B25" s="3">
        <f>A25/$A$202</f>
        <v>0.115</v>
      </c>
      <c r="C25">
        <v>0.107159</v>
      </c>
      <c r="D25" s="4">
        <f t="shared" si="0"/>
        <v>10.715900000000001</v>
      </c>
      <c r="E25" s="4">
        <f t="shared" si="1"/>
        <v>0.31350514770203908</v>
      </c>
      <c r="F25" s="4">
        <f t="shared" si="2"/>
        <v>3.6626584071000026</v>
      </c>
      <c r="G25" s="6">
        <f t="shared" si="5"/>
        <v>1.1319935187627446E-5</v>
      </c>
      <c r="H25" s="5">
        <f t="shared" si="4"/>
        <v>1.3224999999743593E-4</v>
      </c>
      <c r="I25" s="7">
        <f t="shared" si="3"/>
        <v>1.3200000000000001E-4</v>
      </c>
    </row>
    <row r="26" spans="1:9" x14ac:dyDescent="0.3">
      <c r="A26">
        <v>35.666400000000003</v>
      </c>
      <c r="B26" s="3">
        <f>A26/$A$202</f>
        <v>0.12</v>
      </c>
      <c r="C26">
        <v>0.111818</v>
      </c>
      <c r="D26" s="4">
        <f t="shared" si="0"/>
        <v>11.181800000000001</v>
      </c>
      <c r="E26" s="4">
        <f t="shared" si="1"/>
        <v>0.31353879281340374</v>
      </c>
      <c r="F26" s="4">
        <f t="shared" si="2"/>
        <v>3.9885021791999948</v>
      </c>
      <c r="G26" s="6">
        <f t="shared" si="5"/>
        <v>1.1319935187870243E-5</v>
      </c>
      <c r="H26" s="5">
        <f t="shared" si="4"/>
        <v>1.440000000002967E-4</v>
      </c>
      <c r="I26" s="7">
        <f t="shared" si="3"/>
        <v>1.44E-4</v>
      </c>
    </row>
    <row r="27" spans="1:9" x14ac:dyDescent="0.3">
      <c r="A27">
        <v>37.152500000000003</v>
      </c>
      <c r="B27" s="3">
        <f>A27/$A$202</f>
        <v>0.125</v>
      </c>
      <c r="C27">
        <v>0.116478</v>
      </c>
      <c r="D27" s="4">
        <f t="shared" si="0"/>
        <v>11.6478</v>
      </c>
      <c r="E27" s="4">
        <f t="shared" si="1"/>
        <v>0.31353879281340447</v>
      </c>
      <c r="F27" s="4">
        <f t="shared" si="2"/>
        <v>4.3278018437500041</v>
      </c>
      <c r="G27" s="6">
        <f t="shared" si="5"/>
        <v>-1.1319935187571442E-5</v>
      </c>
      <c r="H27" s="5">
        <f t="shared" si="4"/>
        <v>-1.5624999999619757E-4</v>
      </c>
      <c r="I27" s="7">
        <f t="shared" si="3"/>
        <v>-1.56E-4</v>
      </c>
    </row>
    <row r="28" spans="1:9" x14ac:dyDescent="0.3">
      <c r="A28">
        <v>38.638599999999997</v>
      </c>
      <c r="B28" s="3">
        <f>A28/$A$202</f>
        <v>0.12999999999999998</v>
      </c>
      <c r="C28">
        <v>0.12113699999999999</v>
      </c>
      <c r="D28" s="4">
        <f t="shared" si="0"/>
        <v>12.1137</v>
      </c>
      <c r="E28" s="4">
        <f t="shared" si="1"/>
        <v>0.31350514770203924</v>
      </c>
      <c r="F28" s="4">
        <f t="shared" si="2"/>
        <v>4.6804481724000047</v>
      </c>
      <c r="G28" s="6">
        <f t="shared" si="5"/>
        <v>-2.4279825247505325E-16</v>
      </c>
      <c r="H28" s="5">
        <f t="shared" si="4"/>
        <v>-3.6248356538593E-15</v>
      </c>
      <c r="I28" s="7">
        <f t="shared" si="3"/>
        <v>0</v>
      </c>
    </row>
    <row r="29" spans="1:9" x14ac:dyDescent="0.3">
      <c r="A29">
        <v>40.124699999999997</v>
      </c>
      <c r="B29" s="3">
        <f>A29/$A$202</f>
        <v>0.13499999999999998</v>
      </c>
      <c r="C29">
        <v>0.12579599999999999</v>
      </c>
      <c r="D29" s="4">
        <f t="shared" si="0"/>
        <v>12.579599999999999</v>
      </c>
      <c r="E29" s="4">
        <f t="shared" si="1"/>
        <v>0.31353879281340374</v>
      </c>
      <c r="F29" s="4">
        <f t="shared" si="2"/>
        <v>5.0479480705499915</v>
      </c>
      <c r="G29" s="6">
        <f t="shared" si="5"/>
        <v>1.1319935187963627E-5</v>
      </c>
      <c r="H29" s="5">
        <f t="shared" si="4"/>
        <v>1.8225000000187893E-4</v>
      </c>
      <c r="I29" s="7">
        <f t="shared" si="3"/>
        <v>1.8200000000000001E-4</v>
      </c>
    </row>
    <row r="30" spans="1:9" x14ac:dyDescent="0.3">
      <c r="A30">
        <v>41.610799999999998</v>
      </c>
      <c r="B30" s="3">
        <f>A30/$A$202</f>
        <v>0.13999999999999999</v>
      </c>
      <c r="C30">
        <v>0.13045599999999999</v>
      </c>
      <c r="D30" s="4">
        <f t="shared" si="0"/>
        <v>13.045599999999999</v>
      </c>
      <c r="E30" s="4">
        <f t="shared" si="1"/>
        <v>0.31353879281340491</v>
      </c>
      <c r="F30" s="4">
        <f t="shared" si="2"/>
        <v>5.4287946328000114</v>
      </c>
      <c r="G30" s="6">
        <f t="shared" si="5"/>
        <v>3.9221256169046971E-16</v>
      </c>
      <c r="H30" s="5">
        <f t="shared" si="4"/>
        <v>6.7909984302616498E-15</v>
      </c>
      <c r="I30" s="7">
        <f t="shared" si="3"/>
        <v>0</v>
      </c>
    </row>
    <row r="31" spans="1:9" x14ac:dyDescent="0.3">
      <c r="A31">
        <v>43.096899999999998</v>
      </c>
      <c r="B31" s="3">
        <f>A31/$A$202</f>
        <v>0.14499999999999999</v>
      </c>
      <c r="C31">
        <v>0.13511500000000001</v>
      </c>
      <c r="D31" s="4">
        <f t="shared" si="0"/>
        <v>13.511500000000002</v>
      </c>
      <c r="E31" s="4">
        <f t="shared" si="1"/>
        <v>0.31353879281340491</v>
      </c>
      <c r="F31" s="4">
        <f t="shared" si="2"/>
        <v>5.823490160950012</v>
      </c>
      <c r="G31" s="6">
        <f t="shared" si="5"/>
        <v>1.1319935187422E-5</v>
      </c>
      <c r="H31" s="5">
        <f t="shared" si="4"/>
        <v>2.1024999999210773E-4</v>
      </c>
      <c r="I31" s="7">
        <f t="shared" si="3"/>
        <v>2.1000000000000001E-4</v>
      </c>
    </row>
    <row r="32" spans="1:9" x14ac:dyDescent="0.3">
      <c r="A32">
        <v>44.582999999999998</v>
      </c>
      <c r="B32" s="3">
        <f>A32/$A$202</f>
        <v>0.15</v>
      </c>
      <c r="C32">
        <v>0.13977500000000001</v>
      </c>
      <c r="D32" s="4">
        <f t="shared" si="0"/>
        <v>13.977500000000001</v>
      </c>
      <c r="E32" s="4">
        <f t="shared" si="1"/>
        <v>0.31357243792476897</v>
      </c>
      <c r="F32" s="4">
        <f t="shared" si="2"/>
        <v>6.2327033999999877</v>
      </c>
      <c r="G32" s="6">
        <f t="shared" si="5"/>
        <v>1.1319935187627446E-5</v>
      </c>
      <c r="H32" s="5">
        <f t="shared" si="4"/>
        <v>2.249999999956376E-4</v>
      </c>
      <c r="I32" s="7">
        <f t="shared" si="3"/>
        <v>2.2499999999999999E-4</v>
      </c>
    </row>
    <row r="33" spans="1:9" x14ac:dyDescent="0.3">
      <c r="A33">
        <v>46.069099999999999</v>
      </c>
      <c r="B33" s="3">
        <f>A33/$A$202</f>
        <v>0.15499999999999997</v>
      </c>
      <c r="C33">
        <v>0.14443500000000001</v>
      </c>
      <c r="D33" s="4">
        <f t="shared" si="0"/>
        <v>14.4435</v>
      </c>
      <c r="E33" s="4">
        <f t="shared" si="1"/>
        <v>0.31357243792476958</v>
      </c>
      <c r="F33" s="4">
        <f t="shared" si="2"/>
        <v>6.655142186</v>
      </c>
      <c r="G33" s="6">
        <f t="shared" si="5"/>
        <v>2.0544467517119841E-16</v>
      </c>
      <c r="H33" s="5">
        <f t="shared" si="4"/>
        <v>4.360279665105436E-15</v>
      </c>
      <c r="I33" s="7">
        <f t="shared" si="3"/>
        <v>0</v>
      </c>
    </row>
    <row r="34" spans="1:9" x14ac:dyDescent="0.3">
      <c r="A34">
        <v>47.555199999999999</v>
      </c>
      <c r="B34" s="3">
        <f>A34/$A$202</f>
        <v>0.15999999999999998</v>
      </c>
      <c r="C34">
        <v>0.14909500000000001</v>
      </c>
      <c r="D34" s="4">
        <f t="shared" si="0"/>
        <v>14.909500000000001</v>
      </c>
      <c r="E34" s="4">
        <f t="shared" si="1"/>
        <v>0.31357243792476958</v>
      </c>
      <c r="F34" s="4">
        <f t="shared" si="2"/>
        <v>7.0914314239999996</v>
      </c>
      <c r="G34" s="6">
        <f t="shared" si="5"/>
        <v>1.1319935187608769E-5</v>
      </c>
      <c r="H34" s="5">
        <f t="shared" si="4"/>
        <v>2.5599999999461421E-4</v>
      </c>
      <c r="I34" s="7">
        <f t="shared" si="3"/>
        <v>2.5599999999999999E-4</v>
      </c>
    </row>
    <row r="35" spans="1:9" x14ac:dyDescent="0.3">
      <c r="A35">
        <v>49.0413</v>
      </c>
      <c r="B35" s="3">
        <f>A35/$A$202</f>
        <v>0.16499999999999998</v>
      </c>
      <c r="C35">
        <v>0.153755</v>
      </c>
      <c r="D35" s="4">
        <f t="shared" si="0"/>
        <v>15.375500000000001</v>
      </c>
      <c r="E35" s="4">
        <f t="shared" si="1"/>
        <v>0.31360608303613419</v>
      </c>
      <c r="F35" s="4">
        <f t="shared" si="2"/>
        <v>7.5423802954499841</v>
      </c>
      <c r="G35" s="6">
        <f t="shared" si="5"/>
        <v>2.2639870375647102E-5</v>
      </c>
      <c r="H35" s="5">
        <f t="shared" si="4"/>
        <v>5.4449999999887585E-4</v>
      </c>
      <c r="I35" s="7">
        <f t="shared" si="3"/>
        <v>5.44E-4</v>
      </c>
    </row>
    <row r="36" spans="1:9" x14ac:dyDescent="0.3">
      <c r="A36">
        <v>50.5274</v>
      </c>
      <c r="B36" s="3">
        <f>A36/$A$202</f>
        <v>0.16999999999999998</v>
      </c>
      <c r="C36">
        <v>0.158416</v>
      </c>
      <c r="D36" s="4">
        <f t="shared" si="0"/>
        <v>15.8416</v>
      </c>
      <c r="E36" s="4">
        <f t="shared" si="1"/>
        <v>0.31363972814750007</v>
      </c>
      <c r="F36" s="4">
        <f t="shared" si="2"/>
        <v>8.0072791875999982</v>
      </c>
      <c r="G36" s="6">
        <f t="shared" si="5"/>
        <v>2.2639870376057991E-5</v>
      </c>
      <c r="H36" s="5">
        <f t="shared" si="4"/>
        <v>5.7800000000929677E-4</v>
      </c>
      <c r="I36" s="7">
        <f t="shared" si="3"/>
        <v>5.7799999999999995E-4</v>
      </c>
    </row>
    <row r="37" spans="1:9" x14ac:dyDescent="0.3">
      <c r="A37">
        <v>52.013500000000001</v>
      </c>
      <c r="B37" s="3">
        <f>A37/$A$202</f>
        <v>0.17499999999999999</v>
      </c>
      <c r="C37">
        <v>0.163077</v>
      </c>
      <c r="D37" s="4">
        <f t="shared" si="0"/>
        <v>16.307700000000001</v>
      </c>
      <c r="E37" s="4">
        <f t="shared" si="1"/>
        <v>0.31367337325886591</v>
      </c>
      <c r="F37" s="4">
        <f t="shared" si="2"/>
        <v>8.4861325587500112</v>
      </c>
      <c r="G37" s="6">
        <f t="shared" si="5"/>
        <v>2.263987037544166E-5</v>
      </c>
      <c r="H37" s="5">
        <f t="shared" si="4"/>
        <v>6.1249999999317753E-4</v>
      </c>
      <c r="I37" s="7">
        <f t="shared" si="3"/>
        <v>6.1200000000000002E-4</v>
      </c>
    </row>
    <row r="38" spans="1:9" x14ac:dyDescent="0.3">
      <c r="A38">
        <v>53.499600000000001</v>
      </c>
      <c r="B38" s="3">
        <f>A38/$A$202</f>
        <v>0.18</v>
      </c>
      <c r="C38">
        <v>0.167739</v>
      </c>
      <c r="D38" s="4">
        <f t="shared" si="0"/>
        <v>16.773900000000001</v>
      </c>
      <c r="E38" s="4">
        <f t="shared" si="1"/>
        <v>0.31370701837022996</v>
      </c>
      <c r="F38" s="4">
        <f t="shared" si="2"/>
        <v>8.9789448671999761</v>
      </c>
      <c r="G38" s="6">
        <f t="shared" si="5"/>
        <v>2.2639870375236213E-5</v>
      </c>
      <c r="H38" s="5">
        <f t="shared" si="4"/>
        <v>6.4799999998690168E-4</v>
      </c>
      <c r="I38" s="7">
        <f t="shared" si="3"/>
        <v>6.4800000000000003E-4</v>
      </c>
    </row>
    <row r="39" spans="1:9" x14ac:dyDescent="0.3">
      <c r="A39">
        <v>54.985700000000001</v>
      </c>
      <c r="B39" s="3">
        <f>A39/$A$202</f>
        <v>0.185</v>
      </c>
      <c r="C39">
        <v>0.172401</v>
      </c>
      <c r="D39" s="4">
        <f t="shared" si="0"/>
        <v>17.240099999999998</v>
      </c>
      <c r="E39" s="4">
        <f t="shared" si="1"/>
        <v>0.31374066348159518</v>
      </c>
      <c r="F39" s="4">
        <f t="shared" si="2"/>
        <v>9.4857205712499741</v>
      </c>
      <c r="G39" s="6">
        <f t="shared" si="5"/>
        <v>2.2639870376039316E-5</v>
      </c>
      <c r="H39" s="5">
        <f t="shared" si="4"/>
        <v>6.845000000104452E-4</v>
      </c>
      <c r="I39" s="7">
        <f t="shared" si="3"/>
        <v>6.8499999999999995E-4</v>
      </c>
    </row>
    <row r="40" spans="1:9" x14ac:dyDescent="0.3">
      <c r="A40">
        <v>56.471800000000002</v>
      </c>
      <c r="B40" s="3">
        <f>A40/$A$202</f>
        <v>0.19</v>
      </c>
      <c r="C40">
        <v>0.177064</v>
      </c>
      <c r="D40" s="4">
        <f t="shared" si="0"/>
        <v>17.706399999999999</v>
      </c>
      <c r="E40" s="4">
        <f t="shared" si="1"/>
        <v>0.31377430859296163</v>
      </c>
      <c r="F40" s="4">
        <f t="shared" si="2"/>
        <v>10.006464129200008</v>
      </c>
      <c r="G40" s="6">
        <f t="shared" si="5"/>
        <v>3.3959805563853529E-5</v>
      </c>
      <c r="H40" s="5">
        <f t="shared" si="4"/>
        <v>1.0830000000099744E-3</v>
      </c>
      <c r="I40" s="7">
        <f t="shared" si="3"/>
        <v>1.083E-3</v>
      </c>
    </row>
    <row r="41" spans="1:9" x14ac:dyDescent="0.3">
      <c r="A41">
        <v>57.957900000000002</v>
      </c>
      <c r="B41" s="3">
        <f>A41/$A$202</f>
        <v>0.19499999999999998</v>
      </c>
      <c r="C41">
        <v>0.181727</v>
      </c>
      <c r="D41" s="4">
        <f t="shared" si="0"/>
        <v>18.172699999999999</v>
      </c>
      <c r="E41" s="4">
        <f t="shared" si="1"/>
        <v>0.31384159881569207</v>
      </c>
      <c r="F41" s="4">
        <f t="shared" si="2"/>
        <v>10.542310178400001</v>
      </c>
      <c r="G41" s="6">
        <f t="shared" si="5"/>
        <v>4.5279740751275529E-5</v>
      </c>
      <c r="H41" s="5">
        <f t="shared" si="4"/>
        <v>1.5209999999962326E-3</v>
      </c>
      <c r="I41" s="7">
        <f t="shared" si="3"/>
        <v>1.521E-3</v>
      </c>
    </row>
    <row r="42" spans="1:9" x14ac:dyDescent="0.3">
      <c r="A42">
        <v>59.444000000000003</v>
      </c>
      <c r="B42" s="3">
        <f>A42/$A$202</f>
        <v>0.19999999999999998</v>
      </c>
      <c r="C42">
        <v>0.186392</v>
      </c>
      <c r="D42" s="4">
        <f t="shared" si="0"/>
        <v>18.639199999999999</v>
      </c>
      <c r="E42" s="4">
        <f t="shared" si="1"/>
        <v>0.31390888903842257</v>
      </c>
      <c r="F42" s="4">
        <f t="shared" si="2"/>
        <v>11.092250399999996</v>
      </c>
      <c r="G42" s="6">
        <f t="shared" si="5"/>
        <v>3.3959805563872205E-5</v>
      </c>
      <c r="H42" s="5">
        <f t="shared" si="4"/>
        <v>1.2000000000117121E-3</v>
      </c>
      <c r="I42" s="7">
        <f t="shared" si="3"/>
        <v>1.1999999999999999E-3</v>
      </c>
    </row>
    <row r="43" spans="1:9" x14ac:dyDescent="0.3">
      <c r="A43">
        <v>60.930100000000003</v>
      </c>
      <c r="B43" s="3">
        <f>A43/$A$202</f>
        <v>0.20499999999999999</v>
      </c>
      <c r="C43">
        <v>0.191057</v>
      </c>
      <c r="D43" s="4">
        <f t="shared" si="0"/>
        <v>19.105699999999999</v>
      </c>
      <c r="E43" s="4">
        <f t="shared" si="1"/>
        <v>0.31394253414978901</v>
      </c>
      <c r="F43" s="4">
        <f t="shared" si="2"/>
        <v>11.655044643550038</v>
      </c>
      <c r="G43" s="6">
        <f t="shared" si="5"/>
        <v>4.5279740751929215E-5</v>
      </c>
      <c r="H43" s="5">
        <f t="shared" si="4"/>
        <v>1.6810000000201043E-3</v>
      </c>
      <c r="I43" s="7">
        <f t="shared" si="3"/>
        <v>1.681E-3</v>
      </c>
    </row>
    <row r="44" spans="1:9" x14ac:dyDescent="0.3">
      <c r="A44">
        <v>62.416200000000003</v>
      </c>
      <c r="B44" s="3">
        <f>A44/$A$202</f>
        <v>0.21</v>
      </c>
      <c r="C44">
        <v>0.19572300000000001</v>
      </c>
      <c r="D44" s="4">
        <f t="shared" si="0"/>
        <v>19.572300000000002</v>
      </c>
      <c r="E44" s="4">
        <f t="shared" si="1"/>
        <v>0.31404346948388545</v>
      </c>
      <c r="F44" s="4">
        <f t="shared" si="2"/>
        <v>12.234449026800057</v>
      </c>
      <c r="G44" s="6">
        <f t="shared" si="5"/>
        <v>6.7919611126511902E-5</v>
      </c>
      <c r="H44" s="5">
        <f t="shared" si="4"/>
        <v>2.6459999999778089E-3</v>
      </c>
      <c r="I44" s="7">
        <f t="shared" si="3"/>
        <v>2.6459999999999999E-3</v>
      </c>
    </row>
    <row r="45" spans="1:9" x14ac:dyDescent="0.3">
      <c r="A45">
        <v>63.902299999999997</v>
      </c>
      <c r="B45" s="3">
        <f>A45/$A$202</f>
        <v>0.21499999999999997</v>
      </c>
      <c r="C45">
        <v>0.20039100000000001</v>
      </c>
      <c r="D45" s="4">
        <f t="shared" si="0"/>
        <v>20.039100000000001</v>
      </c>
      <c r="E45" s="4">
        <f t="shared" si="1"/>
        <v>0.31414440481797923</v>
      </c>
      <c r="F45" s="4">
        <f t="shared" si="2"/>
        <v>12.82809916464997</v>
      </c>
      <c r="G45" s="6">
        <f t="shared" si="5"/>
        <v>6.7919611126268946E-5</v>
      </c>
      <c r="H45" s="5">
        <f t="shared" si="4"/>
        <v>2.7734999999668177E-3</v>
      </c>
      <c r="I45" s="7">
        <f t="shared" si="3"/>
        <v>2.7729999999999999E-3</v>
      </c>
    </row>
    <row r="46" spans="1:9" x14ac:dyDescent="0.3">
      <c r="A46">
        <v>65.388400000000004</v>
      </c>
      <c r="B46" s="3">
        <f>A46/$A$202</f>
        <v>0.22</v>
      </c>
      <c r="C46">
        <v>0.20505999999999999</v>
      </c>
      <c r="D46" s="4">
        <f t="shared" si="0"/>
        <v>20.506</v>
      </c>
      <c r="E46" s="4">
        <f t="shared" si="1"/>
        <v>0.31424534015207495</v>
      </c>
      <c r="F46" s="4">
        <f t="shared" si="2"/>
        <v>13.436008431999962</v>
      </c>
      <c r="G46" s="6">
        <f t="shared" si="5"/>
        <v>6.7919611127333524E-5</v>
      </c>
      <c r="H46" s="5">
        <f t="shared" si="4"/>
        <v>2.9040000000107747E-3</v>
      </c>
      <c r="I46" s="7">
        <f t="shared" si="3"/>
        <v>2.9039999999999999E-3</v>
      </c>
    </row>
    <row r="47" spans="1:9" x14ac:dyDescent="0.3">
      <c r="A47">
        <v>66.874499999999998</v>
      </c>
      <c r="B47" s="3">
        <f>A47/$A$202</f>
        <v>0.22499999999999998</v>
      </c>
      <c r="C47">
        <v>0.209731</v>
      </c>
      <c r="D47" s="4">
        <f t="shared" si="0"/>
        <v>20.973099999999999</v>
      </c>
      <c r="E47" s="4">
        <f t="shared" si="1"/>
        <v>0.31434627548617189</v>
      </c>
      <c r="F47" s="4">
        <f t="shared" si="2"/>
        <v>14.05819020375</v>
      </c>
      <c r="G47" s="6">
        <f t="shared" si="5"/>
        <v>7.9239546315147734E-5</v>
      </c>
      <c r="H47" s="5">
        <f t="shared" si="4"/>
        <v>3.5437500000098069E-3</v>
      </c>
      <c r="I47" s="7">
        <f t="shared" si="3"/>
        <v>3.5439999999999998E-3</v>
      </c>
    </row>
    <row r="48" spans="1:9" x14ac:dyDescent="0.3">
      <c r="A48">
        <v>68.360600000000005</v>
      </c>
      <c r="B48" s="3">
        <f>A48/$A$202</f>
        <v>0.23</v>
      </c>
      <c r="C48">
        <v>0.21440300000000001</v>
      </c>
      <c r="D48" s="4">
        <f t="shared" si="0"/>
        <v>21.440300000000001</v>
      </c>
      <c r="E48" s="4">
        <f t="shared" si="1"/>
        <v>0.31448085593163283</v>
      </c>
      <c r="F48" s="4">
        <f t="shared" si="2"/>
        <v>14.696230148599987</v>
      </c>
      <c r="G48" s="6">
        <f t="shared" si="5"/>
        <v>9.0559481502569734E-5</v>
      </c>
      <c r="H48" s="5">
        <f t="shared" si="4"/>
        <v>4.231999999990391E-3</v>
      </c>
      <c r="I48" s="7">
        <f t="shared" si="3"/>
        <v>4.2319999999999997E-3</v>
      </c>
    </row>
    <row r="49" spans="1:9" x14ac:dyDescent="0.3">
      <c r="A49">
        <v>69.846699999999998</v>
      </c>
      <c r="B49" s="3">
        <f>A49/$A$202</f>
        <v>0.23499999999999999</v>
      </c>
      <c r="C49">
        <v>0.21907799999999999</v>
      </c>
      <c r="D49" s="4">
        <f t="shared" si="0"/>
        <v>21.907799999999998</v>
      </c>
      <c r="E49" s="4">
        <f t="shared" si="1"/>
        <v>0.31461543637709383</v>
      </c>
      <c r="F49" s="4">
        <f t="shared" si="2"/>
        <v>15.348707554949971</v>
      </c>
      <c r="G49" s="6">
        <f t="shared" si="5"/>
        <v>9.0559481502980619E-5</v>
      </c>
      <c r="H49" s="5">
        <f t="shared" si="4"/>
        <v>4.4180000000100129E-3</v>
      </c>
      <c r="I49" s="7">
        <f t="shared" si="3"/>
        <v>4.4180000000000001E-3</v>
      </c>
    </row>
    <row r="50" spans="1:9" x14ac:dyDescent="0.3">
      <c r="A50">
        <v>71.332800000000006</v>
      </c>
      <c r="B50" s="3">
        <f>A50/$A$202</f>
        <v>0.24</v>
      </c>
      <c r="C50">
        <v>0.22375400000000001</v>
      </c>
      <c r="D50" s="4">
        <f t="shared" si="0"/>
        <v>22.375399999999999</v>
      </c>
      <c r="E50" s="4">
        <f t="shared" si="1"/>
        <v>0.31475001682255599</v>
      </c>
      <c r="F50" s="4">
        <f t="shared" si="2"/>
        <v>16.015640256000019</v>
      </c>
      <c r="G50" s="6">
        <f t="shared" si="5"/>
        <v>1.0187941669077617E-4</v>
      </c>
      <c r="H50" s="5">
        <f t="shared" si="4"/>
        <v>5.1840000000078308E-3</v>
      </c>
      <c r="I50" s="7">
        <f t="shared" si="3"/>
        <v>5.1840000000000002E-3</v>
      </c>
    </row>
    <row r="51" spans="1:9" x14ac:dyDescent="0.3">
      <c r="A51">
        <v>72.818899999999999</v>
      </c>
      <c r="B51" s="3">
        <f>A51/$A$202</f>
        <v>0.24499999999999997</v>
      </c>
      <c r="C51">
        <v>0.228433</v>
      </c>
      <c r="D51" s="4">
        <f t="shared" si="0"/>
        <v>22.843299999999999</v>
      </c>
      <c r="E51" s="4">
        <f t="shared" si="1"/>
        <v>0.31491824237938215</v>
      </c>
      <c r="F51" s="4">
        <f t="shared" si="2"/>
        <v>16.698830147999992</v>
      </c>
      <c r="G51" s="6">
        <f t="shared" si="5"/>
        <v>1.0187941669077617E-4</v>
      </c>
      <c r="H51" s="5">
        <f t="shared" si="4"/>
        <v>5.4022500000081592E-3</v>
      </c>
      <c r="I51" s="7">
        <f t="shared" si="3"/>
        <v>5.4019999999999997E-3</v>
      </c>
    </row>
    <row r="52" spans="1:9" x14ac:dyDescent="0.3">
      <c r="A52">
        <v>74.305000000000007</v>
      </c>
      <c r="B52" s="3">
        <f>A52/$A$202</f>
        <v>0.25</v>
      </c>
      <c r="C52">
        <v>0.23311399999999999</v>
      </c>
      <c r="D52" s="4">
        <f t="shared" si="0"/>
        <v>23.311399999999999</v>
      </c>
      <c r="E52" s="4">
        <f t="shared" si="1"/>
        <v>0.31505282282484431</v>
      </c>
      <c r="F52" s="4">
        <f t="shared" si="2"/>
        <v>17.394800500000045</v>
      </c>
      <c r="G52" s="6">
        <f t="shared" si="5"/>
        <v>1.1319935187911333E-4</v>
      </c>
      <c r="H52" s="5">
        <f t="shared" si="4"/>
        <v>6.2500000000355639E-3</v>
      </c>
      <c r="I52" s="7">
        <f t="shared" si="3"/>
        <v>6.2500000000000003E-3</v>
      </c>
    </row>
    <row r="53" spans="1:9" x14ac:dyDescent="0.3">
      <c r="A53">
        <v>75.7911</v>
      </c>
      <c r="B53" s="3">
        <f>A53/$A$202</f>
        <v>0.255</v>
      </c>
      <c r="C53">
        <v>0.23779700000000001</v>
      </c>
      <c r="D53" s="4">
        <f t="shared" si="0"/>
        <v>23.779700000000002</v>
      </c>
      <c r="E53" s="4">
        <f t="shared" si="1"/>
        <v>0.31525469349303725</v>
      </c>
      <c r="F53" s="4">
        <f t="shared" si="2"/>
        <v>18.109146478500104</v>
      </c>
      <c r="G53" s="6">
        <f t="shared" si="5"/>
        <v>1.4715915744167887E-4</v>
      </c>
      <c r="H53" s="5">
        <f t="shared" si="4"/>
        <v>8.4532499999809812E-3</v>
      </c>
      <c r="I53" s="7">
        <f t="shared" si="3"/>
        <v>8.4530000000000004E-3</v>
      </c>
    </row>
    <row r="54" spans="1:9" x14ac:dyDescent="0.3">
      <c r="A54">
        <v>77.277199999999993</v>
      </c>
      <c r="B54" s="3">
        <f>A54/$A$202</f>
        <v>0.25999999999999995</v>
      </c>
      <c r="C54">
        <v>0.24248400000000001</v>
      </c>
      <c r="D54" s="4">
        <f t="shared" si="0"/>
        <v>24.2484</v>
      </c>
      <c r="E54" s="4">
        <f t="shared" si="1"/>
        <v>0.31549020927259247</v>
      </c>
      <c r="F54" s="4">
        <f t="shared" si="2"/>
        <v>18.840335914399986</v>
      </c>
      <c r="G54" s="6">
        <f t="shared" si="5"/>
        <v>1.4715915744156608E-4</v>
      </c>
      <c r="H54" s="5">
        <f t="shared" si="4"/>
        <v>8.7879999999734906E-3</v>
      </c>
      <c r="I54" s="7">
        <f t="shared" si="3"/>
        <v>8.7880000000000007E-3</v>
      </c>
    </row>
    <row r="55" spans="1:9" x14ac:dyDescent="0.3">
      <c r="A55">
        <v>78.763300000000001</v>
      </c>
      <c r="B55" s="3">
        <f>A55/$A$202</f>
        <v>0.26499999999999996</v>
      </c>
      <c r="C55">
        <v>0.247174</v>
      </c>
      <c r="D55" s="4">
        <f t="shared" si="0"/>
        <v>24.717400000000001</v>
      </c>
      <c r="E55" s="4">
        <f t="shared" si="1"/>
        <v>0.31569207994078508</v>
      </c>
      <c r="F55" s="4">
        <f t="shared" si="2"/>
        <v>19.584455163350029</v>
      </c>
      <c r="G55" s="6">
        <f t="shared" si="5"/>
        <v>1.3583922225384528E-4</v>
      </c>
      <c r="H55" s="5">
        <f t="shared" si="4"/>
        <v>8.4269999999802871E-3</v>
      </c>
      <c r="I55" s="7">
        <f t="shared" si="3"/>
        <v>8.4270000000000005E-3</v>
      </c>
    </row>
    <row r="56" spans="1:9" x14ac:dyDescent="0.3">
      <c r="A56">
        <v>80.249399999999994</v>
      </c>
      <c r="B56" s="3">
        <f>A56/$A$202</f>
        <v>0.26999999999999996</v>
      </c>
      <c r="C56">
        <v>0.25186700000000001</v>
      </c>
      <c r="D56" s="4">
        <f t="shared" si="0"/>
        <v>25.186700000000002</v>
      </c>
      <c r="E56" s="4">
        <f t="shared" si="1"/>
        <v>0.31589395060897535</v>
      </c>
      <c r="F56" s="4">
        <f t="shared" si="2"/>
        <v>20.343463648199922</v>
      </c>
      <c r="G56" s="6">
        <f t="shared" si="5"/>
        <v>1.4715915744167816E-4</v>
      </c>
      <c r="H56" s="5">
        <f t="shared" si="4"/>
        <v>9.476999999978631E-3</v>
      </c>
      <c r="I56" s="7">
        <f t="shared" si="3"/>
        <v>9.4769999999999993E-3</v>
      </c>
    </row>
    <row r="57" spans="1:9" x14ac:dyDescent="0.3">
      <c r="A57">
        <v>81.735500000000002</v>
      </c>
      <c r="B57" s="3">
        <f>A57/$A$202</f>
        <v>0.27499999999999997</v>
      </c>
      <c r="C57">
        <v>0.25656299999999999</v>
      </c>
      <c r="D57" s="4">
        <f t="shared" si="0"/>
        <v>25.656299999999998</v>
      </c>
      <c r="E57" s="4">
        <f t="shared" si="1"/>
        <v>0.31612946638853323</v>
      </c>
      <c r="F57" s="4">
        <f t="shared" si="2"/>
        <v>21.119635844999966</v>
      </c>
      <c r="G57" s="6">
        <f t="shared" si="5"/>
        <v>1.6979902781850189E-4</v>
      </c>
      <c r="H57" s="5">
        <f t="shared" si="4"/>
        <v>1.1343750000053318E-2</v>
      </c>
      <c r="I57" s="7">
        <f t="shared" si="3"/>
        <v>1.1344E-2</v>
      </c>
    </row>
    <row r="58" spans="1:9" x14ac:dyDescent="0.3">
      <c r="A58">
        <v>83.221599999999995</v>
      </c>
      <c r="B58" s="3">
        <f>A58/$A$202</f>
        <v>0.27999999999999997</v>
      </c>
      <c r="C58">
        <v>0.26126300000000002</v>
      </c>
      <c r="D58" s="4">
        <f t="shared" si="0"/>
        <v>26.126300000000001</v>
      </c>
      <c r="E58" s="4">
        <f t="shared" si="1"/>
        <v>0.3163986272794575</v>
      </c>
      <c r="F58" s="4">
        <f t="shared" si="2"/>
        <v>21.913245939200081</v>
      </c>
      <c r="G58" s="6">
        <f t="shared" si="5"/>
        <v>1.81118963005513E-4</v>
      </c>
      <c r="H58" s="5">
        <f t="shared" si="4"/>
        <v>1.2543999999997385E-2</v>
      </c>
      <c r="I58" s="7">
        <f t="shared" si="3"/>
        <v>1.2544E-2</v>
      </c>
    </row>
    <row r="59" spans="1:9" x14ac:dyDescent="0.3">
      <c r="A59">
        <v>84.707700000000003</v>
      </c>
      <c r="B59" s="3">
        <f>A59/$A$202</f>
        <v>0.28499999999999998</v>
      </c>
      <c r="C59">
        <v>0.26596700000000001</v>
      </c>
      <c r="D59" s="4">
        <f t="shared" si="0"/>
        <v>26.596700000000002</v>
      </c>
      <c r="E59" s="4">
        <f t="shared" si="1"/>
        <v>0.31666778817037822</v>
      </c>
      <c r="F59" s="4">
        <f t="shared" si="2"/>
        <v>22.722162863399955</v>
      </c>
      <c r="G59" s="6">
        <f t="shared" si="5"/>
        <v>1.9243889819295368E-4</v>
      </c>
      <c r="H59" s="5">
        <f t="shared" si="4"/>
        <v>1.3808249999968145E-2</v>
      </c>
      <c r="I59" s="7">
        <f t="shared" si="3"/>
        <v>1.3808000000000001E-2</v>
      </c>
    </row>
    <row r="60" spans="1:9" x14ac:dyDescent="0.3">
      <c r="A60">
        <v>86.193799999999996</v>
      </c>
      <c r="B60" s="3">
        <f>A60/$A$202</f>
        <v>0.28999999999999998</v>
      </c>
      <c r="C60">
        <v>0.270675</v>
      </c>
      <c r="D60" s="4">
        <f t="shared" si="0"/>
        <v>27.067499999999999</v>
      </c>
      <c r="E60" s="4">
        <f t="shared" si="1"/>
        <v>0.3169705941726666</v>
      </c>
      <c r="F60" s="4">
        <f t="shared" si="2"/>
        <v>23.548921904199986</v>
      </c>
      <c r="G60" s="6">
        <f t="shared" si="5"/>
        <v>2.0375883338158969E-4</v>
      </c>
      <c r="H60" s="5">
        <f t="shared" si="4"/>
        <v>1.513800000002564E-2</v>
      </c>
      <c r="I60" s="7">
        <f t="shared" si="3"/>
        <v>1.5138E-2</v>
      </c>
    </row>
    <row r="61" spans="1:9" x14ac:dyDescent="0.3">
      <c r="A61">
        <v>87.679900000000004</v>
      </c>
      <c r="B61" s="3">
        <f>A61/$A$202</f>
        <v>0.29499999999999998</v>
      </c>
      <c r="C61">
        <v>0.27538800000000002</v>
      </c>
      <c r="D61" s="4">
        <f t="shared" si="0"/>
        <v>27.538800000000002</v>
      </c>
      <c r="E61" s="4">
        <f t="shared" si="1"/>
        <v>0.31727340017495498</v>
      </c>
      <c r="F61" s="4">
        <f t="shared" si="2"/>
        <v>24.391232981500032</v>
      </c>
      <c r="G61" s="6">
        <f t="shared" si="5"/>
        <v>2.037588333811788E-4</v>
      </c>
      <c r="H61" s="5">
        <f t="shared" si="4"/>
        <v>1.5664499999994943E-2</v>
      </c>
      <c r="I61" s="7">
        <f t="shared" si="3"/>
        <v>1.5664000000000001E-2</v>
      </c>
    </row>
    <row r="62" spans="1:9" x14ac:dyDescent="0.3">
      <c r="A62">
        <v>89.165999999999997</v>
      </c>
      <c r="B62" s="3">
        <f>A62/$A$202</f>
        <v>0.3</v>
      </c>
      <c r="C62">
        <v>0.28010499999999999</v>
      </c>
      <c r="D62" s="4">
        <f t="shared" si="0"/>
        <v>28.0105</v>
      </c>
      <c r="E62" s="4">
        <f t="shared" si="1"/>
        <v>0.31757620617724214</v>
      </c>
      <c r="F62" s="4">
        <f t="shared" si="2"/>
        <v>25.249136219999972</v>
      </c>
      <c r="G62" s="6">
        <f t="shared" si="5"/>
        <v>2.150787685685821E-4</v>
      </c>
      <c r="H62" s="5">
        <f t="shared" si="4"/>
        <v>1.7099999999959498E-2</v>
      </c>
      <c r="I62" s="7">
        <f t="shared" si="3"/>
        <v>1.7100000000000001E-2</v>
      </c>
    </row>
    <row r="63" spans="1:9" x14ac:dyDescent="0.3">
      <c r="A63">
        <v>90.652100000000004</v>
      </c>
      <c r="B63" s="3">
        <f>A63/$A$202</f>
        <v>0.30499999999999999</v>
      </c>
      <c r="C63">
        <v>0.284827</v>
      </c>
      <c r="D63" s="4">
        <f t="shared" si="0"/>
        <v>28.482700000000001</v>
      </c>
      <c r="E63" s="4">
        <f t="shared" si="1"/>
        <v>0.31791265729089452</v>
      </c>
      <c r="F63" s="4">
        <f t="shared" si="2"/>
        <v>26.125436633449912</v>
      </c>
      <c r="G63" s="6">
        <f t="shared" si="5"/>
        <v>2.2639870375680722E-4</v>
      </c>
      <c r="H63" s="5">
        <f t="shared" si="4"/>
        <v>1.860499999998922E-2</v>
      </c>
      <c r="I63" s="7">
        <f t="shared" si="3"/>
        <v>1.8605E-2</v>
      </c>
    </row>
    <row r="64" spans="1:9" x14ac:dyDescent="0.3">
      <c r="A64">
        <v>92.138199999999998</v>
      </c>
      <c r="B64" s="3">
        <f>A64/$A$202</f>
        <v>0.30999999999999994</v>
      </c>
      <c r="C64">
        <v>0.28955399999999998</v>
      </c>
      <c r="D64" s="4">
        <f t="shared" si="0"/>
        <v>28.955399999999997</v>
      </c>
      <c r="E64" s="4">
        <f t="shared" si="1"/>
        <v>0.31824910840454812</v>
      </c>
      <c r="F64" s="4">
        <f t="shared" si="2"/>
        <v>27.017592247799939</v>
      </c>
      <c r="G64" s="6">
        <f t="shared" si="5"/>
        <v>2.377186389454432E-4</v>
      </c>
      <c r="H64" s="5">
        <f t="shared" si="4"/>
        <v>2.0181000000055849E-2</v>
      </c>
      <c r="I64" s="7">
        <f t="shared" si="3"/>
        <v>2.0181000000000001E-2</v>
      </c>
    </row>
    <row r="65" spans="1:9" x14ac:dyDescent="0.3">
      <c r="A65">
        <v>93.624300000000005</v>
      </c>
      <c r="B65" s="3">
        <f>A65/$A$202</f>
        <v>0.315</v>
      </c>
      <c r="C65">
        <v>0.29428599999999999</v>
      </c>
      <c r="D65" s="4">
        <f t="shared" si="0"/>
        <v>29.428599999999999</v>
      </c>
      <c r="E65" s="4">
        <f t="shared" si="1"/>
        <v>0.31861920462956816</v>
      </c>
      <c r="F65" s="4">
        <f t="shared" si="2"/>
        <v>27.928596811500078</v>
      </c>
      <c r="G65" s="6">
        <f t="shared" si="5"/>
        <v>2.4903857413284655E-4</v>
      </c>
      <c r="H65" s="5">
        <f t="shared" si="4"/>
        <v>2.1829500000018785E-2</v>
      </c>
      <c r="I65" s="7">
        <f t="shared" si="3"/>
        <v>2.1829999999999999E-2</v>
      </c>
    </row>
    <row r="66" spans="1:9" x14ac:dyDescent="0.3">
      <c r="A66">
        <v>95.110399999999998</v>
      </c>
      <c r="B66" s="3">
        <f>A66/$A$202</f>
        <v>0.31999999999999995</v>
      </c>
      <c r="C66">
        <v>0.29902400000000001</v>
      </c>
      <c r="D66" s="4">
        <f t="shared" si="0"/>
        <v>29.9024</v>
      </c>
      <c r="E66" s="4">
        <f t="shared" si="1"/>
        <v>0.31898930085458577</v>
      </c>
      <c r="F66" s="4">
        <f t="shared" si="2"/>
        <v>28.855734476799995</v>
      </c>
      <c r="G66" s="6">
        <f t="shared" si="5"/>
        <v>2.6035850931987634E-4</v>
      </c>
      <c r="H66" s="5">
        <f t="shared" si="4"/>
        <v>2.3551999999945467E-2</v>
      </c>
      <c r="I66" s="7">
        <f t="shared" si="3"/>
        <v>2.3552E-2</v>
      </c>
    </row>
    <row r="67" spans="1:9" x14ac:dyDescent="0.3">
      <c r="A67">
        <v>96.596500000000006</v>
      </c>
      <c r="B67" s="3">
        <f>A67/$A$202</f>
        <v>0.32500000000000001</v>
      </c>
      <c r="C67">
        <v>0.30376700000000001</v>
      </c>
      <c r="D67" s="4">
        <f t="shared" ref="D67:D130" si="6">C67*100</f>
        <v>30.3767</v>
      </c>
      <c r="E67" s="4">
        <f t="shared" si="1"/>
        <v>0.3193930421909687</v>
      </c>
      <c r="F67" s="4">
        <f t="shared" si="2"/>
        <v>29.802193671249913</v>
      </c>
      <c r="G67" s="6">
        <f t="shared" si="5"/>
        <v>2.7167844450810141E-4</v>
      </c>
      <c r="H67" s="5">
        <f t="shared" si="4"/>
        <v>2.5349999999979039E-2</v>
      </c>
      <c r="I67" s="7">
        <f t="shared" si="3"/>
        <v>2.5350000000000001E-2</v>
      </c>
    </row>
    <row r="68" spans="1:9" x14ac:dyDescent="0.3">
      <c r="A68">
        <v>98.082599999999999</v>
      </c>
      <c r="B68" s="3">
        <f>A68/$A$202</f>
        <v>0.32999999999999996</v>
      </c>
      <c r="C68">
        <v>0.30851699999999999</v>
      </c>
      <c r="D68" s="4">
        <f t="shared" si="6"/>
        <v>30.851699999999997</v>
      </c>
      <c r="E68" s="4">
        <f t="shared" ref="E68:E131" si="7">(D69-D67)/(A69-A67)</f>
        <v>0.31979678352735275</v>
      </c>
      <c r="F68" s="4">
        <f t="shared" ref="F68:F131" si="8">E68*0.01*A68*A68</f>
        <v>30.765078728999928</v>
      </c>
      <c r="G68" s="6">
        <f t="shared" si="5"/>
        <v>2.5311046038747724E-4</v>
      </c>
      <c r="H68" s="5">
        <f t="shared" si="4"/>
        <v>2.4349723455827452E-2</v>
      </c>
      <c r="I68" s="7">
        <f t="shared" ref="I68:I131" si="9">ROUND(H68,6)</f>
        <v>2.435E-2</v>
      </c>
    </row>
    <row r="69" spans="1:9" x14ac:dyDescent="0.3">
      <c r="A69">
        <v>99.568700000000007</v>
      </c>
      <c r="B69" s="3">
        <f>A69/$A$202</f>
        <v>0.33500000000000002</v>
      </c>
      <c r="C69">
        <v>0.31327199999999999</v>
      </c>
      <c r="D69" s="4">
        <f t="shared" si="6"/>
        <v>31.327199999999998</v>
      </c>
      <c r="E69" s="4">
        <f t="shared" si="7"/>
        <v>0.32014533710133236</v>
      </c>
      <c r="F69" s="4">
        <f t="shared" si="8"/>
        <v>31.738971875713258</v>
      </c>
      <c r="G69" s="6">
        <f t="shared" si="5"/>
        <v>2.680313112093144E-4</v>
      </c>
      <c r="H69" s="5">
        <f t="shared" ref="H69:H132" si="10">G69*A69*0.01*A69</f>
        <v>2.6572425902896508E-2</v>
      </c>
      <c r="I69" s="7">
        <f t="shared" si="9"/>
        <v>2.6571999999999998E-2</v>
      </c>
    </row>
    <row r="70" spans="1:9" x14ac:dyDescent="0.3">
      <c r="A70">
        <v>101.05500000000001</v>
      </c>
      <c r="B70" s="3">
        <f>A70/$A$202</f>
        <v>0.3400006729022273</v>
      </c>
      <c r="C70">
        <v>0.31803300000000001</v>
      </c>
      <c r="D70" s="4">
        <f t="shared" si="6"/>
        <v>31.8033</v>
      </c>
      <c r="E70" s="4">
        <f t="shared" si="7"/>
        <v>0.32059347979679131</v>
      </c>
      <c r="F70" s="4">
        <f t="shared" si="8"/>
        <v>32.739368507628875</v>
      </c>
      <c r="G70" s="6">
        <f t="shared" ref="G70:G133" si="11">(E71-E69)/(A71-A69)</f>
        <v>3.2014511998135724E-4</v>
      </c>
      <c r="H70" s="5">
        <f t="shared" si="10"/>
        <v>3.2693581496518069E-2</v>
      </c>
      <c r="I70" s="7">
        <f t="shared" si="9"/>
        <v>3.2694000000000001E-2</v>
      </c>
    </row>
    <row r="71" spans="1:9" x14ac:dyDescent="0.3">
      <c r="A71">
        <v>102.541</v>
      </c>
      <c r="B71" s="3">
        <f>A71/$A$202</f>
        <v>0.34500033645111361</v>
      </c>
      <c r="C71">
        <v>0.322801</v>
      </c>
      <c r="D71" s="4">
        <f t="shared" si="6"/>
        <v>32.280099999999997</v>
      </c>
      <c r="E71" s="4">
        <f t="shared" si="7"/>
        <v>0.32109690444145295</v>
      </c>
      <c r="F71" s="4">
        <f t="shared" si="8"/>
        <v>33.762237115337413</v>
      </c>
      <c r="G71" s="6">
        <f t="shared" si="11"/>
        <v>3.1656814475906913E-4</v>
      </c>
      <c r="H71" s="5">
        <f t="shared" si="10"/>
        <v>3.3286053582827213E-2</v>
      </c>
      <c r="I71" s="7">
        <f t="shared" si="9"/>
        <v>3.3286000000000003E-2</v>
      </c>
    </row>
    <row r="72" spans="1:9" x14ac:dyDescent="0.3">
      <c r="A72">
        <v>104.027</v>
      </c>
      <c r="B72" s="3">
        <f>A72/$A$202</f>
        <v>0.35</v>
      </c>
      <c r="C72">
        <v>0.32757599999999998</v>
      </c>
      <c r="D72" s="4">
        <f t="shared" si="6"/>
        <v>32.757599999999996</v>
      </c>
      <c r="E72" s="4">
        <f t="shared" si="7"/>
        <v>0.32153432032301527</v>
      </c>
      <c r="F72" s="4">
        <f t="shared" si="8"/>
        <v>34.795211797551865</v>
      </c>
      <c r="G72" s="6">
        <f t="shared" si="11"/>
        <v>2.9435792837242952E-4</v>
      </c>
      <c r="H72" s="5">
        <f t="shared" si="10"/>
        <v>3.1854286819888673E-2</v>
      </c>
      <c r="I72" s="7">
        <f t="shared" si="9"/>
        <v>3.1854E-2</v>
      </c>
    </row>
    <row r="73" spans="1:9" x14ac:dyDescent="0.3">
      <c r="A73">
        <v>105.51300000000001</v>
      </c>
      <c r="B73" s="3">
        <f>A73/$A$202</f>
        <v>0.35499966354888635</v>
      </c>
      <c r="C73">
        <v>0.33235700000000001</v>
      </c>
      <c r="D73" s="4">
        <f t="shared" si="6"/>
        <v>33.235700000000001</v>
      </c>
      <c r="E73" s="4">
        <f t="shared" si="7"/>
        <v>0.32197173620457581</v>
      </c>
      <c r="F73" s="4">
        <f t="shared" si="8"/>
        <v>35.845091397766133</v>
      </c>
      <c r="G73" s="6">
        <f t="shared" si="11"/>
        <v>3.0567938715605493E-4</v>
      </c>
      <c r="H73" s="5">
        <f t="shared" si="10"/>
        <v>3.4031265291124671E-2</v>
      </c>
      <c r="I73" s="7">
        <f t="shared" si="9"/>
        <v>3.4030999999999999E-2</v>
      </c>
    </row>
    <row r="74" spans="1:9" x14ac:dyDescent="0.3">
      <c r="A74">
        <v>106.999</v>
      </c>
      <c r="B74" s="3">
        <f>A74/$A$202</f>
        <v>0.35999932709777266</v>
      </c>
      <c r="C74">
        <v>0.33714499999999997</v>
      </c>
      <c r="D74" s="4">
        <f t="shared" si="6"/>
        <v>33.714499999999994</v>
      </c>
      <c r="E74" s="4">
        <f t="shared" si="7"/>
        <v>0.32244279946164306</v>
      </c>
      <c r="F74" s="4">
        <f t="shared" si="8"/>
        <v>36.915786085997091</v>
      </c>
      <c r="G74" s="6">
        <f t="shared" si="11"/>
        <v>3.1700084593975364E-4</v>
      </c>
      <c r="H74" s="5">
        <f t="shared" si="10"/>
        <v>3.6292748473002095E-2</v>
      </c>
      <c r="I74" s="7">
        <f t="shared" si="9"/>
        <v>3.6292999999999999E-2</v>
      </c>
    </row>
    <row r="75" spans="1:9" x14ac:dyDescent="0.3">
      <c r="A75">
        <v>108.485</v>
      </c>
      <c r="B75" s="3">
        <f>A75/$A$202</f>
        <v>0.36499899064665903</v>
      </c>
      <c r="C75">
        <v>0.34194000000000002</v>
      </c>
      <c r="D75" s="4">
        <f t="shared" si="6"/>
        <v>34.194000000000003</v>
      </c>
      <c r="E75" s="4">
        <f t="shared" si="7"/>
        <v>0.32291386271870876</v>
      </c>
      <c r="F75" s="4">
        <f t="shared" si="8"/>
        <v>38.003717084227894</v>
      </c>
      <c r="G75" s="6">
        <f t="shared" si="11"/>
        <v>3.1700084593865014E-4</v>
      </c>
      <c r="H75" s="5">
        <f t="shared" si="10"/>
        <v>3.7307814421729348E-2</v>
      </c>
      <c r="I75" s="7">
        <f t="shared" si="9"/>
        <v>3.7308000000000001E-2</v>
      </c>
    </row>
    <row r="76" spans="1:9" x14ac:dyDescent="0.3">
      <c r="A76">
        <v>109.971</v>
      </c>
      <c r="B76" s="3">
        <f>A76/$A$202</f>
        <v>0.36999865419554534</v>
      </c>
      <c r="C76">
        <v>0.34674199999999999</v>
      </c>
      <c r="D76" s="4">
        <f t="shared" si="6"/>
        <v>34.674199999999999</v>
      </c>
      <c r="E76" s="4">
        <f t="shared" si="7"/>
        <v>0.32338492597577273</v>
      </c>
      <c r="F76" s="4">
        <f t="shared" si="8"/>
        <v>39.108946804458483</v>
      </c>
      <c r="G76" s="6">
        <f t="shared" si="11"/>
        <v>2.9166560702684744E-4</v>
      </c>
      <c r="H76" s="5">
        <f t="shared" si="10"/>
        <v>3.5272932637427985E-2</v>
      </c>
      <c r="I76" s="7">
        <f t="shared" si="9"/>
        <v>3.5272999999999999E-2</v>
      </c>
    </row>
    <row r="77" spans="1:9" x14ac:dyDescent="0.3">
      <c r="A77">
        <v>111.45699999999999</v>
      </c>
      <c r="B77" s="3">
        <f>A77/$A$202</f>
        <v>0.37499831774443165</v>
      </c>
      <c r="C77">
        <v>0.351551</v>
      </c>
      <c r="D77" s="4">
        <f t="shared" si="6"/>
        <v>35.155099999999997</v>
      </c>
      <c r="E77" s="4">
        <f t="shared" si="7"/>
        <v>0.32378069290279254</v>
      </c>
      <c r="F77" s="4">
        <f t="shared" si="8"/>
        <v>40.222183849469985</v>
      </c>
      <c r="G77" s="6">
        <f t="shared" si="11"/>
        <v>3.1414189461194327E-4</v>
      </c>
      <c r="H77" s="5">
        <f t="shared" si="10"/>
        <v>3.9024788435102604E-2</v>
      </c>
      <c r="I77" s="7">
        <f t="shared" si="9"/>
        <v>3.9024999999999997E-2</v>
      </c>
    </row>
    <row r="78" spans="1:9" x14ac:dyDescent="0.3">
      <c r="A78">
        <v>112.944</v>
      </c>
      <c r="B78" s="3">
        <f>A78/$A$202</f>
        <v>0.3800013458044546</v>
      </c>
      <c r="C78">
        <v>0.35636800000000002</v>
      </c>
      <c r="D78" s="4">
        <f t="shared" si="6"/>
        <v>35.636800000000001</v>
      </c>
      <c r="E78" s="4">
        <f t="shared" si="7"/>
        <v>0.32431886982845404</v>
      </c>
      <c r="F78" s="4">
        <f t="shared" si="8"/>
        <v>41.37124086286957</v>
      </c>
      <c r="G78" s="6">
        <f t="shared" si="11"/>
        <v>3.87491539252622E-4</v>
      </c>
      <c r="H78" s="5">
        <f t="shared" si="10"/>
        <v>4.9429765869694171E-2</v>
      </c>
      <c r="I78" s="7">
        <f t="shared" si="9"/>
        <v>4.9430000000000002E-2</v>
      </c>
    </row>
    <row r="79" spans="1:9" x14ac:dyDescent="0.3">
      <c r="A79">
        <v>114.43</v>
      </c>
      <c r="B79" s="3">
        <f>A79/$A$202</f>
        <v>0.38500100935334097</v>
      </c>
      <c r="C79">
        <v>0.36119299999999999</v>
      </c>
      <c r="D79" s="4">
        <f t="shared" si="6"/>
        <v>36.119299999999996</v>
      </c>
      <c r="E79" s="4">
        <f t="shared" si="7"/>
        <v>0.32493270524899059</v>
      </c>
      <c r="F79" s="4">
        <f t="shared" si="8"/>
        <v>42.547419198956938</v>
      </c>
      <c r="G79" s="6">
        <f t="shared" si="11"/>
        <v>3.6503993189979686E-4</v>
      </c>
      <c r="H79" s="5">
        <f t="shared" si="10"/>
        <v>4.779914965776625E-2</v>
      </c>
      <c r="I79" s="7">
        <f t="shared" si="9"/>
        <v>4.7799000000000001E-2</v>
      </c>
    </row>
    <row r="80" spans="1:9" x14ac:dyDescent="0.3">
      <c r="A80">
        <v>115.916</v>
      </c>
      <c r="B80" s="3">
        <f>A80/$A$202</f>
        <v>0.39000067290222729</v>
      </c>
      <c r="C80">
        <v>0.36602499999999999</v>
      </c>
      <c r="D80" s="4">
        <f t="shared" si="6"/>
        <v>36.602499999999999</v>
      </c>
      <c r="E80" s="4">
        <f t="shared" si="7"/>
        <v>0.32540376850606023</v>
      </c>
      <c r="F80" s="4">
        <f t="shared" si="8"/>
        <v>43.722939364258906</v>
      </c>
      <c r="G80" s="6">
        <f t="shared" si="11"/>
        <v>3.3964376350599306E-4</v>
      </c>
      <c r="H80" s="5">
        <f t="shared" si="10"/>
        <v>4.5636299005998325E-2</v>
      </c>
      <c r="I80" s="7">
        <f t="shared" si="9"/>
        <v>4.5636000000000003E-2</v>
      </c>
    </row>
    <row r="81" spans="1:9" x14ac:dyDescent="0.3">
      <c r="A81">
        <v>117.402</v>
      </c>
      <c r="B81" s="3">
        <f>A81/$A$202</f>
        <v>0.3950003364511136</v>
      </c>
      <c r="C81">
        <v>0.37086400000000003</v>
      </c>
      <c r="D81" s="4">
        <f t="shared" si="6"/>
        <v>37.086400000000005</v>
      </c>
      <c r="E81" s="4">
        <f t="shared" si="7"/>
        <v>0.3259421265141304</v>
      </c>
      <c r="F81" s="4">
        <f t="shared" si="8"/>
        <v>44.925351673602755</v>
      </c>
      <c r="G81" s="6">
        <f t="shared" si="11"/>
        <v>3.6228668107195054E-4</v>
      </c>
      <c r="H81" s="5">
        <f t="shared" si="10"/>
        <v>4.9934805076858151E-2</v>
      </c>
      <c r="I81" s="7">
        <f t="shared" si="9"/>
        <v>4.9935E-2</v>
      </c>
    </row>
    <row r="82" spans="1:9" x14ac:dyDescent="0.3">
      <c r="A82">
        <v>118.88800000000001</v>
      </c>
      <c r="B82" s="3">
        <f>A82/$A$202</f>
        <v>0.39999999999999997</v>
      </c>
      <c r="C82">
        <v>0.37571199999999999</v>
      </c>
      <c r="D82" s="4">
        <f t="shared" si="6"/>
        <v>37.571199999999997</v>
      </c>
      <c r="E82" s="4">
        <f t="shared" si="7"/>
        <v>0.32648048452220607</v>
      </c>
      <c r="F82" s="4">
        <f t="shared" si="8"/>
        <v>46.145915728947351</v>
      </c>
      <c r="G82" s="6">
        <f t="shared" si="11"/>
        <v>3.5096522229096185E-4</v>
      </c>
      <c r="H82" s="5">
        <f t="shared" si="10"/>
        <v>4.9606675864046719E-2</v>
      </c>
      <c r="I82" s="7">
        <f t="shared" si="9"/>
        <v>4.9606999999999998E-2</v>
      </c>
    </row>
    <row r="83" spans="1:9" x14ac:dyDescent="0.3">
      <c r="A83">
        <v>120.374</v>
      </c>
      <c r="B83" s="3">
        <f>A83/$A$202</f>
        <v>0.40499966354888628</v>
      </c>
      <c r="C83">
        <v>0.38056699999999999</v>
      </c>
      <c r="D83" s="4">
        <f t="shared" si="6"/>
        <v>38.056699999999999</v>
      </c>
      <c r="E83" s="4">
        <f t="shared" si="7"/>
        <v>0.32698519515477914</v>
      </c>
      <c r="F83" s="4">
        <f t="shared" si="8"/>
        <v>47.379827387270694</v>
      </c>
      <c r="G83" s="6">
        <f t="shared" si="11"/>
        <v>3.5096522229071905E-4</v>
      </c>
      <c r="H83" s="5">
        <f t="shared" si="10"/>
        <v>5.0854509309506017E-2</v>
      </c>
      <c r="I83" s="7">
        <f t="shared" si="9"/>
        <v>5.0854999999999997E-2</v>
      </c>
    </row>
    <row r="84" spans="1:9" x14ac:dyDescent="0.3">
      <c r="A84">
        <v>121.86</v>
      </c>
      <c r="B84" s="3">
        <f>A84/$A$202</f>
        <v>0.40999932709777265</v>
      </c>
      <c r="C84">
        <v>0.38542999999999999</v>
      </c>
      <c r="D84" s="4">
        <f t="shared" si="6"/>
        <v>38.542999999999999</v>
      </c>
      <c r="E84" s="4">
        <f t="shared" si="7"/>
        <v>0.32752355316285409</v>
      </c>
      <c r="F84" s="4">
        <f t="shared" si="8"/>
        <v>48.636787801615192</v>
      </c>
      <c r="G84" s="6">
        <f t="shared" si="11"/>
        <v>3.6228668107357549E-4</v>
      </c>
      <c r="H84" s="5">
        <f t="shared" si="10"/>
        <v>5.3799063488925734E-2</v>
      </c>
      <c r="I84" s="7">
        <f t="shared" si="9"/>
        <v>5.3799E-2</v>
      </c>
    </row>
    <row r="85" spans="1:9" x14ac:dyDescent="0.3">
      <c r="A85">
        <v>123.346</v>
      </c>
      <c r="B85" s="3">
        <f>A85/$A$202</f>
        <v>0.41499899064665902</v>
      </c>
      <c r="C85">
        <v>0.39030100000000001</v>
      </c>
      <c r="D85" s="4">
        <f t="shared" si="6"/>
        <v>39.030100000000004</v>
      </c>
      <c r="E85" s="4">
        <f t="shared" si="7"/>
        <v>0.32806191117092981</v>
      </c>
      <c r="F85" s="4">
        <f t="shared" si="8"/>
        <v>49.912112459959801</v>
      </c>
      <c r="G85" s="6">
        <f t="shared" si="11"/>
        <v>3.6228668107329706E-4</v>
      </c>
      <c r="H85" s="5">
        <f t="shared" si="10"/>
        <v>5.5119149626164585E-2</v>
      </c>
      <c r="I85" s="7">
        <f t="shared" si="9"/>
        <v>5.5119000000000001E-2</v>
      </c>
    </row>
    <row r="86" spans="1:9" x14ac:dyDescent="0.3">
      <c r="A86">
        <v>124.83199999999999</v>
      </c>
      <c r="B86" s="3">
        <f>A86/$A$202</f>
        <v>0.41999865419554533</v>
      </c>
      <c r="C86">
        <v>0.39517999999999998</v>
      </c>
      <c r="D86" s="4">
        <f t="shared" si="6"/>
        <v>39.518000000000001</v>
      </c>
      <c r="E86" s="4">
        <f t="shared" si="7"/>
        <v>0.32860026917900392</v>
      </c>
      <c r="F86" s="4">
        <f t="shared" si="8"/>
        <v>51.205872690304155</v>
      </c>
      <c r="G86" s="6">
        <f t="shared" si="11"/>
        <v>3.2503592095824813E-4</v>
      </c>
      <c r="H86" s="5">
        <f t="shared" si="10"/>
        <v>5.0650439301062132E-2</v>
      </c>
      <c r="I86" s="7">
        <f t="shared" si="9"/>
        <v>5.0650000000000001E-2</v>
      </c>
    </row>
    <row r="87" spans="1:9" x14ac:dyDescent="0.3">
      <c r="A87">
        <v>126.318</v>
      </c>
      <c r="B87" s="3">
        <f>A87/$A$202</f>
        <v>0.4249983177444317</v>
      </c>
      <c r="C87">
        <v>0.40006700000000001</v>
      </c>
      <c r="D87" s="4">
        <f t="shared" si="6"/>
        <v>40.006700000000002</v>
      </c>
      <c r="E87" s="4">
        <f t="shared" si="7"/>
        <v>0.32902791792801772</v>
      </c>
      <c r="F87" s="4">
        <f t="shared" si="8"/>
        <v>52.500474788754609</v>
      </c>
      <c r="G87" s="6">
        <f t="shared" si="11"/>
        <v>3.2486568270381809E-4</v>
      </c>
      <c r="H87" s="5">
        <f t="shared" si="10"/>
        <v>5.1836338666722673E-2</v>
      </c>
      <c r="I87" s="7">
        <f t="shared" si="9"/>
        <v>5.1836E-2</v>
      </c>
    </row>
    <row r="88" spans="1:9" x14ac:dyDescent="0.3">
      <c r="A88">
        <v>127.80500000000001</v>
      </c>
      <c r="B88" s="3">
        <f>A88/$A$202</f>
        <v>0.43000134580445459</v>
      </c>
      <c r="C88">
        <v>0.40496199999999999</v>
      </c>
      <c r="D88" s="4">
        <f t="shared" si="6"/>
        <v>40.496200000000002</v>
      </c>
      <c r="E88" s="4">
        <f t="shared" si="7"/>
        <v>0.32956609485368238</v>
      </c>
      <c r="F88" s="4">
        <f t="shared" si="8"/>
        <v>53.83171490378394</v>
      </c>
      <c r="G88" s="6">
        <f t="shared" si="11"/>
        <v>3.9940305254372149E-4</v>
      </c>
      <c r="H88" s="5">
        <f t="shared" si="10"/>
        <v>6.5238965997944251E-2</v>
      </c>
      <c r="I88" s="7">
        <f t="shared" si="9"/>
        <v>6.5239000000000005E-2</v>
      </c>
    </row>
    <row r="89" spans="1:9" x14ac:dyDescent="0.3">
      <c r="A89">
        <v>129.291</v>
      </c>
      <c r="B89" s="3">
        <f>A89/$A$202</f>
        <v>0.43500100935334091</v>
      </c>
      <c r="C89">
        <v>0.40986499999999998</v>
      </c>
      <c r="D89" s="4">
        <f t="shared" si="6"/>
        <v>40.986499999999999</v>
      </c>
      <c r="E89" s="4">
        <f t="shared" si="7"/>
        <v>0.3302153432032302</v>
      </c>
      <c r="F89" s="4">
        <f t="shared" si="8"/>
        <v>55.199333967474438</v>
      </c>
      <c r="G89" s="6">
        <f t="shared" si="11"/>
        <v>3.8827691188349217E-4</v>
      </c>
      <c r="H89" s="5">
        <f t="shared" si="10"/>
        <v>6.490500024320757E-2</v>
      </c>
      <c r="I89" s="7">
        <f t="shared" si="9"/>
        <v>6.4905000000000004E-2</v>
      </c>
    </row>
    <row r="90" spans="1:9" x14ac:dyDescent="0.3">
      <c r="A90">
        <v>130.77699999999999</v>
      </c>
      <c r="B90" s="3">
        <f>A90/$A$202</f>
        <v>0.44000067290222722</v>
      </c>
      <c r="C90">
        <v>0.41477599999999998</v>
      </c>
      <c r="D90" s="4">
        <f t="shared" si="6"/>
        <v>41.477599999999995</v>
      </c>
      <c r="E90" s="4">
        <f t="shared" si="7"/>
        <v>0.33072005383580011</v>
      </c>
      <c r="F90" s="4">
        <f t="shared" si="8"/>
        <v>56.561806403883111</v>
      </c>
      <c r="G90" s="6">
        <f t="shared" si="11"/>
        <v>3.509652222901757E-4</v>
      </c>
      <c r="H90" s="5">
        <f t="shared" si="10"/>
        <v>6.0024261387937171E-2</v>
      </c>
      <c r="I90" s="7">
        <f t="shared" si="9"/>
        <v>6.0024000000000001E-2</v>
      </c>
    </row>
    <row r="91" spans="1:9" x14ac:dyDescent="0.3">
      <c r="A91">
        <v>132.26300000000001</v>
      </c>
      <c r="B91" s="3">
        <f>A91/$A$202</f>
        <v>0.44500033645111364</v>
      </c>
      <c r="C91">
        <v>0.41969400000000001</v>
      </c>
      <c r="D91" s="4">
        <f t="shared" si="6"/>
        <v>41.9694</v>
      </c>
      <c r="E91" s="4">
        <f t="shared" si="7"/>
        <v>0.33125841184387661</v>
      </c>
      <c r="F91" s="4">
        <f t="shared" si="8"/>
        <v>57.94869414831939</v>
      </c>
      <c r="G91" s="6">
        <f t="shared" si="11"/>
        <v>3.6228668107355684E-4</v>
      </c>
      <c r="H91" s="5">
        <f t="shared" si="10"/>
        <v>6.3376624788733973E-2</v>
      </c>
      <c r="I91" s="7">
        <f t="shared" si="9"/>
        <v>6.3377000000000003E-2</v>
      </c>
    </row>
    <row r="92" spans="1:9" x14ac:dyDescent="0.3">
      <c r="A92">
        <v>133.749</v>
      </c>
      <c r="B92" s="3">
        <f>A92/$A$202</f>
        <v>0.44999999999999996</v>
      </c>
      <c r="C92">
        <v>0.42462100000000003</v>
      </c>
      <c r="D92" s="4">
        <f t="shared" si="6"/>
        <v>42.4621</v>
      </c>
      <c r="E92" s="4">
        <f t="shared" si="7"/>
        <v>0.33179676985195072</v>
      </c>
      <c r="F92" s="4">
        <f t="shared" si="8"/>
        <v>59.354443978755228</v>
      </c>
      <c r="G92" s="6">
        <f t="shared" si="11"/>
        <v>3.5096522228963403E-4</v>
      </c>
      <c r="H92" s="5">
        <f t="shared" si="10"/>
        <v>6.2783449140196596E-2</v>
      </c>
      <c r="I92" s="7">
        <f t="shared" si="9"/>
        <v>6.2783000000000005E-2</v>
      </c>
    </row>
    <row r="93" spans="1:9" x14ac:dyDescent="0.3">
      <c r="A93">
        <v>135.23500000000001</v>
      </c>
      <c r="B93" s="3">
        <f>A93/$A$202</f>
        <v>0.45499966354888632</v>
      </c>
      <c r="C93">
        <v>0.42955500000000002</v>
      </c>
      <c r="D93" s="4">
        <f t="shared" si="6"/>
        <v>42.955500000000001</v>
      </c>
      <c r="E93" s="4">
        <f t="shared" si="7"/>
        <v>0.33230148048452141</v>
      </c>
      <c r="F93" s="4">
        <f t="shared" si="8"/>
        <v>60.772973621164063</v>
      </c>
      <c r="G93" s="6">
        <f t="shared" si="11"/>
        <v>3.5096522229071737E-4</v>
      </c>
      <c r="H93" s="5">
        <f t="shared" si="10"/>
        <v>6.4186293016570722E-2</v>
      </c>
      <c r="I93" s="7">
        <f t="shared" si="9"/>
        <v>6.4186000000000007E-2</v>
      </c>
    </row>
    <row r="94" spans="1:9" x14ac:dyDescent="0.3">
      <c r="A94">
        <v>136.721</v>
      </c>
      <c r="B94" s="3">
        <f>A94/$A$202</f>
        <v>0.45999932709777264</v>
      </c>
      <c r="C94">
        <v>0.43449700000000002</v>
      </c>
      <c r="D94" s="4">
        <f t="shared" si="6"/>
        <v>43.4497</v>
      </c>
      <c r="E94" s="4">
        <f t="shared" si="7"/>
        <v>0.33283983849259874</v>
      </c>
      <c r="F94" s="4">
        <f t="shared" si="8"/>
        <v>62.216525629600497</v>
      </c>
      <c r="G94" s="6">
        <f t="shared" si="11"/>
        <v>3.5096522229044057E-4</v>
      </c>
      <c r="H94" s="5">
        <f t="shared" si="10"/>
        <v>6.5604636892699325E-2</v>
      </c>
      <c r="I94" s="7">
        <f t="shared" si="9"/>
        <v>6.5604999999999997E-2</v>
      </c>
    </row>
    <row r="95" spans="1:9" x14ac:dyDescent="0.3">
      <c r="A95">
        <v>138.20699999999999</v>
      </c>
      <c r="B95" s="3">
        <f>A95/$A$202</f>
        <v>0.46499899064665895</v>
      </c>
      <c r="C95">
        <v>0.43944699999999998</v>
      </c>
      <c r="D95" s="4">
        <f t="shared" si="6"/>
        <v>43.944699999999997</v>
      </c>
      <c r="E95" s="4">
        <f t="shared" si="7"/>
        <v>0.33334454912516859</v>
      </c>
      <c r="F95" s="4">
        <f t="shared" si="8"/>
        <v>63.672725178009152</v>
      </c>
      <c r="G95" s="6">
        <f t="shared" si="11"/>
        <v>3.3964376350623424E-4</v>
      </c>
      <c r="H95" s="5">
        <f t="shared" si="10"/>
        <v>6.4875949131049854E-2</v>
      </c>
      <c r="I95" s="7">
        <f t="shared" si="9"/>
        <v>6.4876000000000003E-2</v>
      </c>
    </row>
    <row r="96" spans="1:9" x14ac:dyDescent="0.3">
      <c r="A96">
        <v>139.69300000000001</v>
      </c>
      <c r="B96" s="3">
        <f>A96/$A$202</f>
        <v>0.46999865419554537</v>
      </c>
      <c r="C96">
        <v>0.44440400000000002</v>
      </c>
      <c r="D96" s="4">
        <f t="shared" si="6"/>
        <v>44.440400000000004</v>
      </c>
      <c r="E96" s="4">
        <f t="shared" si="7"/>
        <v>0.33384925975773927</v>
      </c>
      <c r="F96" s="4">
        <f t="shared" si="8"/>
        <v>65.147792738417991</v>
      </c>
      <c r="G96" s="6">
        <f t="shared" si="11"/>
        <v>3.018027490659385E-4</v>
      </c>
      <c r="H96" s="5">
        <f t="shared" si="10"/>
        <v>5.8894193619899851E-2</v>
      </c>
      <c r="I96" s="7">
        <f t="shared" si="9"/>
        <v>5.8894000000000002E-2</v>
      </c>
    </row>
    <row r="97" spans="1:9" x14ac:dyDescent="0.3">
      <c r="A97">
        <v>141.179</v>
      </c>
      <c r="B97" s="3">
        <f>A97/$A$202</f>
        <v>0.47499831774443169</v>
      </c>
      <c r="C97">
        <v>0.44936900000000002</v>
      </c>
      <c r="D97" s="4">
        <f t="shared" si="6"/>
        <v>44.936900000000001</v>
      </c>
      <c r="E97" s="4">
        <f t="shared" si="7"/>
        <v>0.33424150689539256</v>
      </c>
      <c r="F97" s="4">
        <f t="shared" si="8"/>
        <v>66.619379508044872</v>
      </c>
      <c r="G97" s="6">
        <f t="shared" si="11"/>
        <v>3.0164413234563077E-4</v>
      </c>
      <c r="H97" s="5">
        <f t="shared" si="10"/>
        <v>6.0122230526556728E-2</v>
      </c>
      <c r="I97" s="7">
        <f t="shared" si="9"/>
        <v>6.0122000000000002E-2</v>
      </c>
    </row>
    <row r="98" spans="1:9" x14ac:dyDescent="0.3">
      <c r="A98">
        <v>142.666</v>
      </c>
      <c r="B98" s="3">
        <f>A98/$A$202</f>
        <v>0.48000134580445458</v>
      </c>
      <c r="C98">
        <v>0.45434099999999999</v>
      </c>
      <c r="D98" s="4">
        <f t="shared" si="6"/>
        <v>45.434100000000001</v>
      </c>
      <c r="E98" s="4">
        <f t="shared" si="7"/>
        <v>0.33474604776320283</v>
      </c>
      <c r="F98" s="4">
        <f t="shared" si="8"/>
        <v>68.132829921733062</v>
      </c>
      <c r="G98" s="6">
        <f t="shared" si="11"/>
        <v>3.7735780694799002E-4</v>
      </c>
      <c r="H98" s="5">
        <f t="shared" si="10"/>
        <v>7.680585163656059E-2</v>
      </c>
      <c r="I98" s="7">
        <f t="shared" si="9"/>
        <v>7.6805999999999999E-2</v>
      </c>
    </row>
    <row r="99" spans="1:9" x14ac:dyDescent="0.3">
      <c r="A99">
        <v>144.15199999999999</v>
      </c>
      <c r="B99" s="3">
        <f>A99/$A$202</f>
        <v>0.4850010093533409</v>
      </c>
      <c r="C99">
        <v>0.45932099999999998</v>
      </c>
      <c r="D99" s="4">
        <f t="shared" si="6"/>
        <v>45.932099999999998</v>
      </c>
      <c r="E99" s="4">
        <f t="shared" si="7"/>
        <v>0.33536339165544893</v>
      </c>
      <c r="F99" s="4">
        <f t="shared" si="8"/>
        <v>69.687839054362982</v>
      </c>
      <c r="G99" s="6">
        <f t="shared" si="11"/>
        <v>3.6622044054957935E-4</v>
      </c>
      <c r="H99" s="5">
        <f t="shared" si="10"/>
        <v>7.6099871823986337E-2</v>
      </c>
      <c r="I99" s="7">
        <f t="shared" si="9"/>
        <v>7.6100000000000001E-2</v>
      </c>
    </row>
    <row r="100" spans="1:9" x14ac:dyDescent="0.3">
      <c r="A100">
        <v>145.63800000000001</v>
      </c>
      <c r="B100" s="3">
        <f>A100/$A$202</f>
        <v>0.49000067290222726</v>
      </c>
      <c r="C100">
        <v>0.464308</v>
      </c>
      <c r="D100" s="4">
        <f t="shared" si="6"/>
        <v>46.430799999999998</v>
      </c>
      <c r="E100" s="4">
        <f t="shared" si="7"/>
        <v>0.33583445491251618</v>
      </c>
      <c r="F100" s="4">
        <f t="shared" si="8"/>
        <v>71.231922047834317</v>
      </c>
      <c r="G100" s="6">
        <f t="shared" si="11"/>
        <v>3.0567938715633363E-4</v>
      </c>
      <c r="H100" s="5">
        <f t="shared" si="10"/>
        <v>6.4835903401340461E-2</v>
      </c>
      <c r="I100" s="7">
        <f t="shared" si="9"/>
        <v>6.4836000000000005E-2</v>
      </c>
    </row>
    <row r="101" spans="1:9" x14ac:dyDescent="0.3">
      <c r="A101">
        <v>147.124</v>
      </c>
      <c r="B101" s="3">
        <f>A101/$A$202</f>
        <v>0.49500033645111358</v>
      </c>
      <c r="C101">
        <v>0.469302</v>
      </c>
      <c r="D101" s="4">
        <f t="shared" si="6"/>
        <v>46.930199999999999</v>
      </c>
      <c r="E101" s="4">
        <f t="shared" si="7"/>
        <v>0.33627187079407755</v>
      </c>
      <c r="F101" s="4">
        <f t="shared" si="8"/>
        <v>72.787631538271754</v>
      </c>
      <c r="G101" s="6">
        <f t="shared" si="11"/>
        <v>3.0567938715633363E-4</v>
      </c>
      <c r="H101" s="5">
        <f t="shared" si="10"/>
        <v>6.616574424925642E-2</v>
      </c>
      <c r="I101" s="7">
        <f t="shared" si="9"/>
        <v>6.6166000000000003E-2</v>
      </c>
    </row>
    <row r="102" spans="1:9" x14ac:dyDescent="0.3">
      <c r="A102">
        <v>148.61000000000001</v>
      </c>
      <c r="B102" s="3">
        <f>A102/$A$202</f>
        <v>0.5</v>
      </c>
      <c r="C102">
        <v>0.474302</v>
      </c>
      <c r="D102" s="4">
        <f t="shared" si="6"/>
        <v>47.430199999999999</v>
      </c>
      <c r="E102" s="4">
        <f t="shared" si="7"/>
        <v>0.3367429340511448</v>
      </c>
      <c r="F102" s="4">
        <f t="shared" si="8"/>
        <v>74.369448336743119</v>
      </c>
      <c r="G102" s="6">
        <f t="shared" si="11"/>
        <v>3.170008459405553E-4</v>
      </c>
      <c r="H102" s="5">
        <f t="shared" si="10"/>
        <v>7.0009421582397258E-2</v>
      </c>
      <c r="I102" s="7">
        <f t="shared" si="9"/>
        <v>7.0009000000000002E-2</v>
      </c>
    </row>
    <row r="103" spans="1:9" x14ac:dyDescent="0.3">
      <c r="A103">
        <v>150.096</v>
      </c>
      <c r="B103" s="3">
        <f>A103/$A$202</f>
        <v>0.50499966354888626</v>
      </c>
      <c r="C103">
        <v>0.47931000000000001</v>
      </c>
      <c r="D103" s="4">
        <f t="shared" si="6"/>
        <v>47.931000000000004</v>
      </c>
      <c r="E103" s="4">
        <f t="shared" si="7"/>
        <v>0.33721399730821289</v>
      </c>
      <c r="F103" s="4">
        <f t="shared" si="8"/>
        <v>75.97029810321466</v>
      </c>
      <c r="G103" s="6">
        <f t="shared" si="11"/>
        <v>3.0567938715474896E-4</v>
      </c>
      <c r="H103" s="5">
        <f t="shared" si="10"/>
        <v>6.8865925944731399E-2</v>
      </c>
      <c r="I103" s="7">
        <f t="shared" si="9"/>
        <v>6.8865999999999997E-2</v>
      </c>
    </row>
    <row r="104" spans="1:9" x14ac:dyDescent="0.3">
      <c r="A104">
        <v>151.58199999999999</v>
      </c>
      <c r="B104" s="3">
        <f>A104/$A$202</f>
        <v>0.50999932709777263</v>
      </c>
      <c r="C104">
        <v>0.48432399999999998</v>
      </c>
      <c r="D104" s="4">
        <f t="shared" si="6"/>
        <v>48.432400000000001</v>
      </c>
      <c r="E104" s="4">
        <f t="shared" si="7"/>
        <v>0.33765141318976871</v>
      </c>
      <c r="F104" s="4">
        <f t="shared" si="8"/>
        <v>77.582512057650831</v>
      </c>
      <c r="G104" s="6">
        <f t="shared" si="11"/>
        <v>2.9435792837052436E-4</v>
      </c>
      <c r="H104" s="5">
        <f t="shared" si="10"/>
        <v>6.7634923577933728E-2</v>
      </c>
      <c r="I104" s="7">
        <f t="shared" si="9"/>
        <v>6.7635000000000001E-2</v>
      </c>
    </row>
    <row r="105" spans="1:9" x14ac:dyDescent="0.3">
      <c r="A105">
        <v>153.06800000000001</v>
      </c>
      <c r="B105" s="3">
        <f>A105/$A$202</f>
        <v>0.51499899064665899</v>
      </c>
      <c r="C105">
        <v>0.48934499999999997</v>
      </c>
      <c r="D105" s="4">
        <f t="shared" si="6"/>
        <v>48.9345</v>
      </c>
      <c r="E105" s="4">
        <f t="shared" si="7"/>
        <v>0.33808882907133009</v>
      </c>
      <c r="F105" s="4">
        <f t="shared" si="8"/>
        <v>79.213579154088279</v>
      </c>
      <c r="G105" s="6">
        <f t="shared" si="11"/>
        <v>2.9435792837429733E-4</v>
      </c>
      <c r="H105" s="5">
        <f t="shared" si="10"/>
        <v>6.8967511061986009E-2</v>
      </c>
      <c r="I105" s="7">
        <f t="shared" si="9"/>
        <v>6.8968000000000002E-2</v>
      </c>
    </row>
    <row r="106" spans="1:9" x14ac:dyDescent="0.3">
      <c r="A106">
        <v>154.554</v>
      </c>
      <c r="B106" s="3">
        <f>A106/$A$202</f>
        <v>0.51999865419554536</v>
      </c>
      <c r="C106">
        <v>0.49437199999999998</v>
      </c>
      <c r="D106" s="4">
        <f t="shared" si="6"/>
        <v>49.437199999999997</v>
      </c>
      <c r="E106" s="4">
        <f t="shared" si="7"/>
        <v>0.33852624495289713</v>
      </c>
      <c r="F106" s="4">
        <f t="shared" si="8"/>
        <v>80.86355734652706</v>
      </c>
      <c r="G106" s="6">
        <f t="shared" si="11"/>
        <v>2.4467755458035435E-4</v>
      </c>
      <c r="H106" s="5">
        <f t="shared" si="10"/>
        <v>5.8445978003771805E-2</v>
      </c>
      <c r="I106" s="7">
        <f t="shared" si="9"/>
        <v>5.8445999999999998E-2</v>
      </c>
    </row>
    <row r="107" spans="1:9" x14ac:dyDescent="0.3">
      <c r="A107">
        <v>156.04</v>
      </c>
      <c r="B107" s="3">
        <f>A107/$A$202</f>
        <v>0.52499831774443162</v>
      </c>
      <c r="C107">
        <v>0.49940600000000002</v>
      </c>
      <c r="D107" s="4">
        <f t="shared" si="6"/>
        <v>49.940600000000003</v>
      </c>
      <c r="E107" s="4">
        <f t="shared" si="7"/>
        <v>0.3388160107635429</v>
      </c>
      <c r="F107" s="4">
        <f t="shared" si="8"/>
        <v>82.496554038615258</v>
      </c>
      <c r="G107" s="6">
        <f t="shared" si="11"/>
        <v>2.2191807838288315E-4</v>
      </c>
      <c r="H107" s="5">
        <f t="shared" si="10"/>
        <v>5.4033682482129877E-2</v>
      </c>
      <c r="I107" s="7">
        <f t="shared" si="9"/>
        <v>5.4033999999999999E-2</v>
      </c>
    </row>
    <row r="108" spans="1:9" x14ac:dyDescent="0.3">
      <c r="A108">
        <v>157.52699999999999</v>
      </c>
      <c r="B108" s="3">
        <f>A108/$A$202</f>
        <v>0.53000134580445457</v>
      </c>
      <c r="C108">
        <v>0.50444500000000003</v>
      </c>
      <c r="D108" s="4">
        <f t="shared" si="6"/>
        <v>50.444500000000005</v>
      </c>
      <c r="E108" s="4">
        <f t="shared" si="7"/>
        <v>0.33918600739992943</v>
      </c>
      <c r="F108" s="4">
        <f t="shared" si="8"/>
        <v>84.168179203240342</v>
      </c>
      <c r="G108" s="6">
        <f t="shared" si="11"/>
        <v>2.9865197847773366E-4</v>
      </c>
      <c r="H108" s="5">
        <f t="shared" si="10"/>
        <v>7.4109758939075246E-2</v>
      </c>
      <c r="I108" s="7">
        <f t="shared" si="9"/>
        <v>7.4109999999999995E-2</v>
      </c>
    </row>
    <row r="109" spans="1:9" x14ac:dyDescent="0.3">
      <c r="A109">
        <v>159.01300000000001</v>
      </c>
      <c r="B109" s="3">
        <f>A109/$A$202</f>
        <v>0.53500100935334094</v>
      </c>
      <c r="C109">
        <v>0.50949</v>
      </c>
      <c r="D109" s="4">
        <f t="shared" si="6"/>
        <v>50.948999999999998</v>
      </c>
      <c r="E109" s="4">
        <f t="shared" si="7"/>
        <v>0.3397039030955572</v>
      </c>
      <c r="F109" s="4">
        <f t="shared" si="8"/>
        <v>85.894587675041393</v>
      </c>
      <c r="G109" s="6">
        <f t="shared" si="11"/>
        <v>3.1011581483370297E-4</v>
      </c>
      <c r="H109" s="5">
        <f t="shared" si="10"/>
        <v>7.8413199859989402E-2</v>
      </c>
      <c r="I109" s="7">
        <f t="shared" si="9"/>
        <v>7.8412999999999997E-2</v>
      </c>
    </row>
    <row r="110" spans="1:9" x14ac:dyDescent="0.3">
      <c r="A110">
        <v>160.499</v>
      </c>
      <c r="B110" s="3">
        <f>A110/$A$202</f>
        <v>0.5400006729022272</v>
      </c>
      <c r="C110">
        <v>0.51454100000000003</v>
      </c>
      <c r="D110" s="4">
        <f t="shared" si="6"/>
        <v>51.454100000000004</v>
      </c>
      <c r="E110" s="4">
        <f t="shared" si="7"/>
        <v>0.3401076716016152</v>
      </c>
      <c r="F110" s="4">
        <f t="shared" si="8"/>
        <v>87.611494731530314</v>
      </c>
      <c r="G110" s="6">
        <f t="shared" si="11"/>
        <v>2.4907209323752282E-4</v>
      </c>
      <c r="H110" s="5">
        <f t="shared" si="10"/>
        <v>6.4160794379290412E-2</v>
      </c>
      <c r="I110" s="7">
        <f t="shared" si="9"/>
        <v>6.4160999999999996E-2</v>
      </c>
    </row>
    <row r="111" spans="1:9" x14ac:dyDescent="0.3">
      <c r="A111">
        <v>161.98500000000001</v>
      </c>
      <c r="B111" s="3">
        <f>A111/$A$202</f>
        <v>0.54500033645111368</v>
      </c>
      <c r="C111">
        <v>0.519598</v>
      </c>
      <c r="D111" s="4">
        <f t="shared" si="6"/>
        <v>51.959800000000001</v>
      </c>
      <c r="E111" s="4">
        <f t="shared" si="7"/>
        <v>0.34044414535665912</v>
      </c>
      <c r="F111" s="4">
        <f t="shared" si="8"/>
        <v>89.329616687936635</v>
      </c>
      <c r="G111" s="6">
        <f t="shared" si="11"/>
        <v>2.2642917567156372E-4</v>
      </c>
      <c r="H111" s="5">
        <f t="shared" si="10"/>
        <v>5.9413068914773201E-2</v>
      </c>
      <c r="I111" s="7">
        <f t="shared" si="9"/>
        <v>5.9413000000000001E-2</v>
      </c>
    </row>
    <row r="112" spans="1:9" x14ac:dyDescent="0.3">
      <c r="A112">
        <v>163.471</v>
      </c>
      <c r="B112" s="3">
        <f>A112/$A$202</f>
        <v>0.54999999999999993</v>
      </c>
      <c r="C112">
        <v>0.52465899999999999</v>
      </c>
      <c r="D112" s="4">
        <f t="shared" si="6"/>
        <v>52.465899999999998</v>
      </c>
      <c r="E112" s="4">
        <f t="shared" si="7"/>
        <v>0.34078061911171109</v>
      </c>
      <c r="F112" s="4">
        <f t="shared" si="8"/>
        <v>91.066013692345038</v>
      </c>
      <c r="G112" s="6">
        <f t="shared" si="11"/>
        <v>2.3775063445520862E-4</v>
      </c>
      <c r="H112" s="5">
        <f t="shared" si="10"/>
        <v>6.3533550085969961E-2</v>
      </c>
      <c r="I112" s="7">
        <f t="shared" si="9"/>
        <v>6.3533999999999993E-2</v>
      </c>
    </row>
    <row r="113" spans="1:9" x14ac:dyDescent="0.3">
      <c r="A113">
        <v>164.95699999999999</v>
      </c>
      <c r="B113" s="3">
        <f>A113/$A$202</f>
        <v>0.5549996635488863</v>
      </c>
      <c r="C113">
        <v>0.52972600000000003</v>
      </c>
      <c r="D113" s="4">
        <f t="shared" si="6"/>
        <v>52.9726</v>
      </c>
      <c r="E113" s="4">
        <f t="shared" si="7"/>
        <v>0.34115074024226</v>
      </c>
      <c r="F113" s="4">
        <f t="shared" si="8"/>
        <v>92.829886048792076</v>
      </c>
      <c r="G113" s="6">
        <f t="shared" si="11"/>
        <v>2.2642917566937837E-4</v>
      </c>
      <c r="H113" s="5">
        <f t="shared" si="10"/>
        <v>6.1613216962636233E-2</v>
      </c>
      <c r="I113" s="7">
        <f t="shared" si="9"/>
        <v>6.1613000000000001E-2</v>
      </c>
    </row>
    <row r="114" spans="1:9" x14ac:dyDescent="0.3">
      <c r="A114">
        <v>166.44300000000001</v>
      </c>
      <c r="B114" s="3">
        <f>A114/$A$202</f>
        <v>0.55999932709777267</v>
      </c>
      <c r="C114">
        <v>0.534798</v>
      </c>
      <c r="D114" s="4">
        <f t="shared" si="6"/>
        <v>53.479799999999997</v>
      </c>
      <c r="E114" s="4">
        <f t="shared" si="7"/>
        <v>0.34145356662180049</v>
      </c>
      <c r="F114" s="4">
        <f t="shared" si="8"/>
        <v>94.593811165158002</v>
      </c>
      <c r="G114" s="6">
        <f t="shared" si="11"/>
        <v>1.924647993222048E-4</v>
      </c>
      <c r="H114" s="5">
        <f t="shared" si="10"/>
        <v>5.3319047339721919E-2</v>
      </c>
      <c r="I114" s="7">
        <f t="shared" si="9"/>
        <v>5.3318999999999998E-2</v>
      </c>
    </row>
    <row r="115" spans="1:9" x14ac:dyDescent="0.3">
      <c r="A115">
        <v>167.929</v>
      </c>
      <c r="B115" s="3">
        <f>A115/$A$202</f>
        <v>0.56499899064665904</v>
      </c>
      <c r="C115">
        <v>0.53987399999999997</v>
      </c>
      <c r="D115" s="4">
        <f t="shared" si="6"/>
        <v>53.987399999999994</v>
      </c>
      <c r="E115" s="4">
        <f t="shared" si="7"/>
        <v>0.34172274562584559</v>
      </c>
      <c r="F115" s="4">
        <f t="shared" si="8"/>
        <v>96.366323573485772</v>
      </c>
      <c r="G115" s="6">
        <f t="shared" si="11"/>
        <v>1.9246479932110463E-4</v>
      </c>
      <c r="H115" s="5">
        <f t="shared" si="10"/>
        <v>5.4275360260013061E-2</v>
      </c>
      <c r="I115" s="7">
        <f t="shared" si="9"/>
        <v>5.4274999999999997E-2</v>
      </c>
    </row>
    <row r="116" spans="1:9" x14ac:dyDescent="0.3">
      <c r="A116">
        <v>169.41499999999999</v>
      </c>
      <c r="B116" s="3">
        <f>A116/$A$202</f>
        <v>0.5699986541955453</v>
      </c>
      <c r="C116">
        <v>0.54495400000000005</v>
      </c>
      <c r="D116" s="4">
        <f t="shared" si="6"/>
        <v>54.495400000000004</v>
      </c>
      <c r="E116" s="4">
        <f t="shared" si="7"/>
        <v>0.34202557200538281</v>
      </c>
      <c r="F116" s="4">
        <f t="shared" si="8"/>
        <v>98.166271943850717</v>
      </c>
      <c r="G116" s="6">
        <f t="shared" si="11"/>
        <v>1.6504272575560509E-4</v>
      </c>
      <c r="H116" s="5">
        <f t="shared" si="10"/>
        <v>4.7369642579310187E-2</v>
      </c>
      <c r="I116" s="7">
        <f t="shared" si="9"/>
        <v>4.7370000000000002E-2</v>
      </c>
    </row>
    <row r="117" spans="1:9" x14ac:dyDescent="0.3">
      <c r="A117">
        <v>170.90100000000001</v>
      </c>
      <c r="B117" s="3">
        <f>A117/$A$202</f>
        <v>0.57499831774443166</v>
      </c>
      <c r="C117">
        <v>0.55003899999999994</v>
      </c>
      <c r="D117" s="4">
        <f t="shared" si="6"/>
        <v>55.003899999999994</v>
      </c>
      <c r="E117" s="4">
        <f t="shared" si="7"/>
        <v>0.34221325260679125</v>
      </c>
      <c r="F117" s="4">
        <f t="shared" si="8"/>
        <v>99.95074417200513</v>
      </c>
      <c r="G117" s="6">
        <f t="shared" si="11"/>
        <v>1.5363910670894242E-4</v>
      </c>
      <c r="H117" s="5">
        <f t="shared" si="10"/>
        <v>4.4873607122181192E-2</v>
      </c>
      <c r="I117" s="7">
        <f t="shared" si="9"/>
        <v>4.4873999999999997E-2</v>
      </c>
    </row>
    <row r="118" spans="1:9" x14ac:dyDescent="0.3">
      <c r="A118">
        <v>172.38800000000001</v>
      </c>
      <c r="B118" s="3">
        <f>A118/$A$202</f>
        <v>0.58000134580445462</v>
      </c>
      <c r="C118">
        <v>0.55512799999999995</v>
      </c>
      <c r="D118" s="4">
        <f t="shared" si="6"/>
        <v>55.512799999999999</v>
      </c>
      <c r="E118" s="4">
        <f t="shared" si="7"/>
        <v>0.34248234106962849</v>
      </c>
      <c r="F118" s="4">
        <f t="shared" si="8"/>
        <v>101.7776093989269</v>
      </c>
      <c r="G118" s="6">
        <f t="shared" si="11"/>
        <v>2.0849526091581801E-4</v>
      </c>
      <c r="H118" s="5">
        <f t="shared" si="10"/>
        <v>6.195983466109075E-2</v>
      </c>
      <c r="I118" s="7">
        <f t="shared" si="9"/>
        <v>6.1960000000000001E-2</v>
      </c>
    </row>
    <row r="119" spans="1:9" x14ac:dyDescent="0.3">
      <c r="A119">
        <v>173.874</v>
      </c>
      <c r="B119" s="3">
        <f>A119/$A$202</f>
        <v>0.58500100935334087</v>
      </c>
      <c r="C119">
        <v>0.56022099999999997</v>
      </c>
      <c r="D119" s="4">
        <f t="shared" si="6"/>
        <v>56.022099999999995</v>
      </c>
      <c r="E119" s="4">
        <f t="shared" si="7"/>
        <v>0.34283310901749398</v>
      </c>
      <c r="F119" s="4">
        <f t="shared" si="8"/>
        <v>103.64588105267886</v>
      </c>
      <c r="G119" s="6">
        <f t="shared" si="11"/>
        <v>1.9727442005353492E-4</v>
      </c>
      <c r="H119" s="5">
        <f t="shared" si="10"/>
        <v>5.9640333846990086E-2</v>
      </c>
      <c r="I119" s="7">
        <f t="shared" si="9"/>
        <v>5.9639999999999999E-2</v>
      </c>
    </row>
    <row r="120" spans="1:9" x14ac:dyDescent="0.3">
      <c r="A120">
        <v>175.36</v>
      </c>
      <c r="B120" s="3">
        <f>A120/$A$202</f>
        <v>0.59000067290222735</v>
      </c>
      <c r="C120">
        <v>0.56531699999999996</v>
      </c>
      <c r="D120" s="4">
        <f t="shared" si="6"/>
        <v>56.531699999999994</v>
      </c>
      <c r="E120" s="4">
        <f t="shared" si="7"/>
        <v>0.3430686406460276</v>
      </c>
      <c r="F120" s="4">
        <f t="shared" si="8"/>
        <v>105.49748230201824</v>
      </c>
      <c r="G120" s="6">
        <f t="shared" si="11"/>
        <v>1.5850042297284588E-4</v>
      </c>
      <c r="H120" s="5">
        <f t="shared" si="10"/>
        <v>4.8740670484928014E-2</v>
      </c>
      <c r="I120" s="7">
        <f t="shared" si="9"/>
        <v>4.8741E-2</v>
      </c>
    </row>
    <row r="121" spans="1:9" x14ac:dyDescent="0.3">
      <c r="A121">
        <v>176.846</v>
      </c>
      <c r="B121" s="3">
        <f>A121/$A$202</f>
        <v>0.59500033645111361</v>
      </c>
      <c r="C121">
        <v>0.57041699999999995</v>
      </c>
      <c r="D121" s="4">
        <f t="shared" si="6"/>
        <v>57.041699999999992</v>
      </c>
      <c r="E121" s="4">
        <f t="shared" si="7"/>
        <v>0.34330417227456927</v>
      </c>
      <c r="F121" s="4">
        <f t="shared" si="8"/>
        <v>107.36668984736009</v>
      </c>
      <c r="G121" s="6">
        <f t="shared" si="11"/>
        <v>1.8193584265165586E-2</v>
      </c>
      <c r="H121" s="5">
        <f t="shared" si="10"/>
        <v>5.6899539148261731</v>
      </c>
      <c r="I121" s="7">
        <f t="shared" si="9"/>
        <v>5.6899540000000002</v>
      </c>
    </row>
    <row r="122" spans="1:9" x14ac:dyDescent="0.3">
      <c r="A122">
        <v>178.33199999999999</v>
      </c>
      <c r="B122" s="3">
        <f>A122/$A$202</f>
        <v>0.6</v>
      </c>
      <c r="C122">
        <v>0.57552000000000003</v>
      </c>
      <c r="D122" s="4">
        <f t="shared" si="6"/>
        <v>57.552000000000007</v>
      </c>
      <c r="E122" s="4">
        <f t="shared" si="7"/>
        <v>0.39713997308209936</v>
      </c>
      <c r="F122" s="8">
        <f t="shared" si="8"/>
        <v>126.29965449188147</v>
      </c>
      <c r="G122" s="9">
        <f t="shared" si="11"/>
        <v>3.6194703731006174E-2</v>
      </c>
      <c r="H122" s="5">
        <f t="shared" si="10"/>
        <v>11.510749069615988</v>
      </c>
      <c r="I122" s="10">
        <f t="shared" si="9"/>
        <v>11.510749000000001</v>
      </c>
    </row>
    <row r="123" spans="1:9" x14ac:dyDescent="0.3">
      <c r="A123">
        <v>179.81800000000001</v>
      </c>
      <c r="B123" s="3">
        <f>A123/$A$202</f>
        <v>0.60499966354888635</v>
      </c>
      <c r="C123">
        <v>0.58221999999999996</v>
      </c>
      <c r="D123" s="4">
        <f t="shared" si="6"/>
        <v>58.221999999999994</v>
      </c>
      <c r="E123" s="4">
        <f t="shared" si="7"/>
        <v>0.45087483176311993</v>
      </c>
      <c r="F123" s="4">
        <f t="shared" si="8"/>
        <v>145.78818164925895</v>
      </c>
      <c r="G123" s="6">
        <f t="shared" si="11"/>
        <v>1.8046405300979833E-2</v>
      </c>
      <c r="H123" s="5">
        <f t="shared" si="10"/>
        <v>5.8352172904555557</v>
      </c>
      <c r="I123" s="7">
        <f t="shared" si="9"/>
        <v>5.8352170000000001</v>
      </c>
    </row>
    <row r="124" spans="1:9" x14ac:dyDescent="0.3">
      <c r="A124">
        <v>181.304</v>
      </c>
      <c r="B124" s="3">
        <f>A124/$A$202</f>
        <v>0.6099993270977726</v>
      </c>
      <c r="C124">
        <v>0.58892</v>
      </c>
      <c r="D124" s="4">
        <f t="shared" si="6"/>
        <v>58.892000000000003</v>
      </c>
      <c r="E124" s="4">
        <f t="shared" si="7"/>
        <v>0.45077388963661158</v>
      </c>
      <c r="F124" s="4">
        <f t="shared" si="8"/>
        <v>148.17451822111548</v>
      </c>
      <c r="G124" s="6">
        <f t="shared" si="11"/>
        <v>-1.1321458783523194E-4</v>
      </c>
      <c r="H124" s="5">
        <f t="shared" si="10"/>
        <v>-3.7214926138714743E-2</v>
      </c>
      <c r="I124" s="7">
        <f t="shared" si="9"/>
        <v>-3.7214999999999998E-2</v>
      </c>
    </row>
    <row r="125" spans="1:9" x14ac:dyDescent="0.3">
      <c r="A125">
        <v>182.79</v>
      </c>
      <c r="B125" s="3">
        <f>A125/$A$202</f>
        <v>0.61499899064665897</v>
      </c>
      <c r="C125">
        <v>0.59561699999999995</v>
      </c>
      <c r="D125" s="4">
        <f t="shared" si="6"/>
        <v>59.561699999999995</v>
      </c>
      <c r="E125" s="4">
        <f t="shared" si="7"/>
        <v>0.45053835800807362</v>
      </c>
      <c r="F125" s="4">
        <f t="shared" si="8"/>
        <v>150.53470561877464</v>
      </c>
      <c r="G125" s="6">
        <f t="shared" si="11"/>
        <v>-1.698218817547141E-4</v>
      </c>
      <c r="H125" s="5">
        <f t="shared" si="10"/>
        <v>-5.6741199773969374E-2</v>
      </c>
      <c r="I125" s="7">
        <f t="shared" si="9"/>
        <v>-5.6741E-2</v>
      </c>
    </row>
    <row r="126" spans="1:9" x14ac:dyDescent="0.3">
      <c r="A126">
        <v>184.27600000000001</v>
      </c>
      <c r="B126" s="3">
        <f>A126/$A$202</f>
        <v>0.61999865419554534</v>
      </c>
      <c r="C126">
        <v>0.60231000000000001</v>
      </c>
      <c r="D126" s="4">
        <f t="shared" si="6"/>
        <v>60.231000000000002</v>
      </c>
      <c r="E126" s="4">
        <f t="shared" si="7"/>
        <v>0.45026917900403657</v>
      </c>
      <c r="F126" s="4">
        <f t="shared" si="8"/>
        <v>152.90080564038726</v>
      </c>
      <c r="G126" s="6">
        <f t="shared" si="11"/>
        <v>-2.6602572071892164E-4</v>
      </c>
      <c r="H126" s="5">
        <f t="shared" si="10"/>
        <v>-9.0336067658370933E-2</v>
      </c>
      <c r="I126" s="7">
        <f t="shared" si="9"/>
        <v>-9.0336E-2</v>
      </c>
    </row>
    <row r="127" spans="1:9" x14ac:dyDescent="0.3">
      <c r="A127">
        <v>185.762</v>
      </c>
      <c r="B127" s="3">
        <f>A127/$A$202</f>
        <v>0.62499831774443171</v>
      </c>
      <c r="C127">
        <v>0.60899899999999996</v>
      </c>
      <c r="D127" s="4">
        <f t="shared" si="6"/>
        <v>60.899899999999995</v>
      </c>
      <c r="E127" s="4">
        <f t="shared" si="7"/>
        <v>0.44974772956609699</v>
      </c>
      <c r="F127" s="4">
        <f t="shared" si="8"/>
        <v>155.19679062594224</v>
      </c>
      <c r="G127" s="6">
        <f t="shared" si="11"/>
        <v>-3.5641653669926269E-4</v>
      </c>
      <c r="H127" s="5">
        <f t="shared" si="10"/>
        <v>-0.12299050998012792</v>
      </c>
      <c r="I127" s="7">
        <f t="shared" si="9"/>
        <v>-0.122991</v>
      </c>
    </row>
    <row r="128" spans="1:9" x14ac:dyDescent="0.3">
      <c r="A128">
        <v>187.249</v>
      </c>
      <c r="B128" s="3">
        <f>A128/$A$202</f>
        <v>0.63000134580445455</v>
      </c>
      <c r="C128">
        <v>0.61568100000000003</v>
      </c>
      <c r="D128" s="4">
        <f t="shared" si="6"/>
        <v>61.568100000000001</v>
      </c>
      <c r="E128" s="4">
        <f t="shared" si="7"/>
        <v>0.44920955264042967</v>
      </c>
      <c r="F128" s="4">
        <f t="shared" si="8"/>
        <v>157.5026978652385</v>
      </c>
      <c r="G128" s="6">
        <f t="shared" si="11"/>
        <v>-3.5653454785795842E-4</v>
      </c>
      <c r="H128" s="5">
        <f t="shared" si="10"/>
        <v>-0.1250088134584727</v>
      </c>
      <c r="I128" s="7">
        <f t="shared" si="9"/>
        <v>-0.12500900000000001</v>
      </c>
    </row>
    <row r="129" spans="1:9" x14ac:dyDescent="0.3">
      <c r="A129">
        <v>188.73500000000001</v>
      </c>
      <c r="B129" s="3">
        <f>A129/$A$202</f>
        <v>0.63500100935334092</v>
      </c>
      <c r="C129">
        <v>0.62235399999999996</v>
      </c>
      <c r="D129" s="4">
        <f t="shared" si="6"/>
        <v>62.235399999999998</v>
      </c>
      <c r="E129" s="4">
        <f t="shared" si="7"/>
        <v>0.44868775235531527</v>
      </c>
      <c r="F129" s="4">
        <f t="shared" si="8"/>
        <v>159.82661658828195</v>
      </c>
      <c r="G129" s="6">
        <f t="shared" si="11"/>
        <v>-4.2464419455395921E-4</v>
      </c>
      <c r="H129" s="5">
        <f t="shared" si="10"/>
        <v>-0.15126208485332074</v>
      </c>
      <c r="I129" s="7">
        <f t="shared" si="9"/>
        <v>-0.15126200000000001</v>
      </c>
    </row>
    <row r="130" spans="1:9" x14ac:dyDescent="0.3">
      <c r="A130">
        <v>190.221</v>
      </c>
      <c r="B130" s="3">
        <f>A130/$A$202</f>
        <v>0.64000067290222729</v>
      </c>
      <c r="C130">
        <v>0.62901600000000002</v>
      </c>
      <c r="D130" s="4">
        <f t="shared" si="6"/>
        <v>62.901600000000002</v>
      </c>
      <c r="E130" s="4">
        <f t="shared" si="7"/>
        <v>0.4479475100942153</v>
      </c>
      <c r="F130" s="4">
        <f t="shared" si="8"/>
        <v>162.08545624503228</v>
      </c>
      <c r="G130" s="6">
        <f t="shared" si="11"/>
        <v>-5.3210856282681911E-4</v>
      </c>
      <c r="H130" s="5">
        <f t="shared" si="10"/>
        <v>-0.19253831583868683</v>
      </c>
      <c r="I130" s="7">
        <f t="shared" si="9"/>
        <v>-0.19253799999999999</v>
      </c>
    </row>
    <row r="131" spans="1:9" x14ac:dyDescent="0.3">
      <c r="A131">
        <v>191.70699999999999</v>
      </c>
      <c r="B131" s="3">
        <f>A131/$A$202</f>
        <v>0.64500033645111354</v>
      </c>
      <c r="C131">
        <v>0.63566699999999998</v>
      </c>
      <c r="D131" s="4">
        <f t="shared" ref="D131:D194" si="12">C131*100</f>
        <v>63.566699999999997</v>
      </c>
      <c r="E131" s="4">
        <f t="shared" si="7"/>
        <v>0.44710632570659398</v>
      </c>
      <c r="F131" s="4">
        <f t="shared" si="8"/>
        <v>164.31861147560934</v>
      </c>
      <c r="G131" s="6">
        <f t="shared" si="11"/>
        <v>-6.000373155285951E-4</v>
      </c>
      <c r="H131" s="5">
        <f t="shared" si="10"/>
        <v>-0.22052315713804876</v>
      </c>
      <c r="I131" s="7">
        <f t="shared" si="9"/>
        <v>-0.220523</v>
      </c>
    </row>
    <row r="132" spans="1:9" x14ac:dyDescent="0.3">
      <c r="A132">
        <v>193.19300000000001</v>
      </c>
      <c r="B132" s="3">
        <f>A132/$A$202</f>
        <v>0.65</v>
      </c>
      <c r="C132">
        <v>0.64230399999999999</v>
      </c>
      <c r="D132" s="4">
        <f t="shared" si="12"/>
        <v>64.230400000000003</v>
      </c>
      <c r="E132" s="4">
        <f t="shared" ref="E132:E195" si="13">(D133-D131)/(A133-A131)</f>
        <v>0.44616419919246431</v>
      </c>
      <c r="F132" s="4">
        <f t="shared" ref="F132:F195" si="14">E132*0.01*A132*A132</f>
        <v>166.524252154018</v>
      </c>
      <c r="G132" s="6">
        <f t="shared" si="11"/>
        <v>-6.5664460944535135E-4</v>
      </c>
      <c r="H132" s="5">
        <f t="shared" si="10"/>
        <v>-0.24508298226699415</v>
      </c>
      <c r="I132" s="7">
        <f t="shared" ref="I132:I195" si="15">ROUND(H132,6)</f>
        <v>-0.245083</v>
      </c>
    </row>
    <row r="133" spans="1:9" x14ac:dyDescent="0.3">
      <c r="A133">
        <v>194.679</v>
      </c>
      <c r="B133" s="3">
        <f>A133/$A$202</f>
        <v>0.65499966354888628</v>
      </c>
      <c r="C133">
        <v>0.64892700000000003</v>
      </c>
      <c r="D133" s="4">
        <f t="shared" si="12"/>
        <v>64.892700000000005</v>
      </c>
      <c r="E133" s="4">
        <f t="shared" si="13"/>
        <v>0.44515477792732239</v>
      </c>
      <c r="F133" s="4">
        <f t="shared" si="14"/>
        <v>168.71327373231188</v>
      </c>
      <c r="G133" s="6">
        <f t="shared" si="11"/>
        <v>-7.13251903364804E-4</v>
      </c>
      <c r="H133" s="5">
        <f t="shared" ref="H133:H196" si="16">G133*A133*0.01*A133</f>
        <v>-0.27032185113853807</v>
      </c>
      <c r="I133" s="7">
        <f t="shared" si="15"/>
        <v>-0.27032200000000001</v>
      </c>
    </row>
    <row r="134" spans="1:9" x14ac:dyDescent="0.3">
      <c r="A134">
        <v>196.16499999999999</v>
      </c>
      <c r="B134" s="3">
        <f>A134/$A$202</f>
        <v>0.65999932709777265</v>
      </c>
      <c r="C134">
        <v>0.65553399999999995</v>
      </c>
      <c r="D134" s="4">
        <f t="shared" si="12"/>
        <v>65.553399999999996</v>
      </c>
      <c r="E134" s="4">
        <f t="shared" si="13"/>
        <v>0.44404441453566412</v>
      </c>
      <c r="F134" s="4">
        <f t="shared" si="14"/>
        <v>170.87143110643424</v>
      </c>
      <c r="G134" s="6">
        <f t="shared" ref="G134:G197" si="17">(E135-E133)/(A135-A133)</f>
        <v>-7.8118065606495326E-4</v>
      </c>
      <c r="H134" s="5">
        <f t="shared" si="16"/>
        <v>-0.30060384115868888</v>
      </c>
      <c r="I134" s="7">
        <f t="shared" si="15"/>
        <v>-0.30060399999999998</v>
      </c>
    </row>
    <row r="135" spans="1:9" x14ac:dyDescent="0.3">
      <c r="A135">
        <v>197.65100000000001</v>
      </c>
      <c r="B135" s="3">
        <f>A135/$A$202</f>
        <v>0.66499899064665902</v>
      </c>
      <c r="C135">
        <v>0.66212400000000005</v>
      </c>
      <c r="D135" s="4">
        <f t="shared" si="12"/>
        <v>66.212400000000002</v>
      </c>
      <c r="E135" s="4">
        <f t="shared" si="13"/>
        <v>0.44283310901749734</v>
      </c>
      <c r="F135" s="4">
        <f t="shared" si="14"/>
        <v>172.99681836438825</v>
      </c>
      <c r="G135" s="6">
        <f t="shared" si="17"/>
        <v>-8.3778794998014055E-4</v>
      </c>
      <c r="H135" s="5">
        <f t="shared" si="16"/>
        <v>-0.32728955188592479</v>
      </c>
      <c r="I135" s="7">
        <f t="shared" si="15"/>
        <v>-0.32729000000000003</v>
      </c>
    </row>
    <row r="136" spans="1:9" x14ac:dyDescent="0.3">
      <c r="A136">
        <v>199.137</v>
      </c>
      <c r="B136" s="3">
        <f>A136/$A$202</f>
        <v>0.66999865419554527</v>
      </c>
      <c r="C136">
        <v>0.66869500000000004</v>
      </c>
      <c r="D136" s="4">
        <f t="shared" si="12"/>
        <v>66.869500000000002</v>
      </c>
      <c r="E136" s="4">
        <f t="shared" si="13"/>
        <v>0.44155450874832314</v>
      </c>
      <c r="F136" s="4">
        <f t="shared" si="14"/>
        <v>175.10084589622932</v>
      </c>
      <c r="G136" s="6">
        <f t="shared" si="17"/>
        <v>-9.3289505833147712E-4</v>
      </c>
      <c r="H136" s="5">
        <f t="shared" si="16"/>
        <v>-0.36994461750442753</v>
      </c>
      <c r="I136" s="7">
        <f t="shared" si="15"/>
        <v>-0.36994500000000002</v>
      </c>
    </row>
    <row r="137" spans="1:9" x14ac:dyDescent="0.3">
      <c r="A137">
        <v>200.62299999999999</v>
      </c>
      <c r="B137" s="3">
        <f>A137/$A$202</f>
        <v>0.67499831774443164</v>
      </c>
      <c r="C137">
        <v>0.67524700000000004</v>
      </c>
      <c r="D137" s="4">
        <f t="shared" si="12"/>
        <v>67.52470000000001</v>
      </c>
      <c r="E137" s="4">
        <f t="shared" si="13"/>
        <v>0.44006054490413621</v>
      </c>
      <c r="F137" s="4">
        <f t="shared" si="14"/>
        <v>177.1225568421479</v>
      </c>
      <c r="G137" s="6">
        <f t="shared" si="17"/>
        <v>-1.0342612052911366E-3</v>
      </c>
      <c r="H137" s="5">
        <f t="shared" si="16"/>
        <v>-0.4162858753077136</v>
      </c>
      <c r="I137" s="7">
        <f t="shared" si="15"/>
        <v>-0.41628599999999999</v>
      </c>
    </row>
    <row r="138" spans="1:9" x14ac:dyDescent="0.3">
      <c r="A138">
        <v>202.11</v>
      </c>
      <c r="B138" s="3">
        <f>A138/$A$202</f>
        <v>0.68000134580445459</v>
      </c>
      <c r="C138">
        <v>0.681778</v>
      </c>
      <c r="D138" s="4">
        <f t="shared" si="12"/>
        <v>68.177800000000005</v>
      </c>
      <c r="E138" s="4">
        <f t="shared" si="13"/>
        <v>0.43847965018499258</v>
      </c>
      <c r="F138" s="4">
        <f t="shared" si="14"/>
        <v>179.1121498740643</v>
      </c>
      <c r="G138" s="6">
        <f t="shared" si="17"/>
        <v>-1.0932782045011008E-3</v>
      </c>
      <c r="H138" s="5">
        <f t="shared" si="16"/>
        <v>-0.44658722368537218</v>
      </c>
      <c r="I138" s="7">
        <f t="shared" si="15"/>
        <v>-0.44658700000000001</v>
      </c>
    </row>
    <row r="139" spans="1:9" x14ac:dyDescent="0.3">
      <c r="A139">
        <v>203.596</v>
      </c>
      <c r="B139" s="3">
        <f>A139/$A$202</f>
        <v>0.68500100935334096</v>
      </c>
      <c r="C139">
        <v>0.68828299999999998</v>
      </c>
      <c r="D139" s="4">
        <f t="shared" si="12"/>
        <v>68.828299999999999</v>
      </c>
      <c r="E139" s="4">
        <f t="shared" si="13"/>
        <v>0.43681022880215442</v>
      </c>
      <c r="F139" s="4">
        <f t="shared" si="14"/>
        <v>181.06365472614848</v>
      </c>
      <c r="G139" s="6">
        <f t="shared" si="17"/>
        <v>-1.1957181733198226E-3</v>
      </c>
      <c r="H139" s="5">
        <f t="shared" si="16"/>
        <v>-0.49564110043270465</v>
      </c>
      <c r="I139" s="7">
        <f t="shared" si="15"/>
        <v>-0.495641</v>
      </c>
    </row>
    <row r="140" spans="1:9" x14ac:dyDescent="0.3">
      <c r="A140">
        <v>205.08199999999999</v>
      </c>
      <c r="B140" s="3">
        <f>A140/$A$202</f>
        <v>0.69000067290222722</v>
      </c>
      <c r="C140">
        <v>0.69476000000000004</v>
      </c>
      <c r="D140" s="4">
        <f t="shared" si="12"/>
        <v>69.475999999999999</v>
      </c>
      <c r="E140" s="4">
        <f t="shared" si="13"/>
        <v>0.43492597577388609</v>
      </c>
      <c r="F140" s="4">
        <f t="shared" si="14"/>
        <v>182.92389267645339</v>
      </c>
      <c r="G140" s="6">
        <f t="shared" si="17"/>
        <v>-1.301967760109432E-3</v>
      </c>
      <c r="H140" s="5">
        <f t="shared" si="16"/>
        <v>-0.54758976029124973</v>
      </c>
      <c r="I140" s="7">
        <f t="shared" si="15"/>
        <v>-0.54759000000000002</v>
      </c>
    </row>
    <row r="141" spans="1:9" x14ac:dyDescent="0.3">
      <c r="A141">
        <v>206.56800000000001</v>
      </c>
      <c r="B141" s="3">
        <f>A141/$A$202</f>
        <v>0.69500033645111359</v>
      </c>
      <c r="C141">
        <v>0.70120899999999997</v>
      </c>
      <c r="D141" s="4">
        <f t="shared" si="12"/>
        <v>70.120899999999992</v>
      </c>
      <c r="E141" s="4">
        <f t="shared" si="13"/>
        <v>0.43294078061910918</v>
      </c>
      <c r="F141" s="4">
        <f t="shared" si="14"/>
        <v>184.73729713156288</v>
      </c>
      <c r="G141" s="6">
        <f t="shared" si="17"/>
        <v>-1.3585750540230505E-3</v>
      </c>
      <c r="H141" s="5">
        <f t="shared" si="16"/>
        <v>-0.57970857601282677</v>
      </c>
      <c r="I141" s="7">
        <f t="shared" si="15"/>
        <v>-0.57970900000000003</v>
      </c>
    </row>
    <row r="142" spans="1:9" x14ac:dyDescent="0.3">
      <c r="A142">
        <v>208.054</v>
      </c>
      <c r="B142" s="3">
        <f>A142/$A$202</f>
        <v>0.7</v>
      </c>
      <c r="C142">
        <v>0.70762700000000001</v>
      </c>
      <c r="D142" s="4">
        <f t="shared" si="12"/>
        <v>70.762699999999995</v>
      </c>
      <c r="E142" s="4">
        <f t="shared" si="13"/>
        <v>0.43088829071332957</v>
      </c>
      <c r="F142" s="4">
        <f t="shared" si="14"/>
        <v>186.51631740454332</v>
      </c>
      <c r="G142" s="6">
        <f t="shared" si="17"/>
        <v>-1.4038608891601373E-3</v>
      </c>
      <c r="H142" s="5">
        <f t="shared" si="16"/>
        <v>-0.6076817793329663</v>
      </c>
      <c r="I142" s="7">
        <f t="shared" si="15"/>
        <v>-0.60768200000000006</v>
      </c>
    </row>
    <row r="143" spans="1:9" x14ac:dyDescent="0.3">
      <c r="A143">
        <v>209.54</v>
      </c>
      <c r="B143" s="3">
        <f>A143/$A$202</f>
        <v>0.70499966354888621</v>
      </c>
      <c r="C143">
        <v>0.71401499999999996</v>
      </c>
      <c r="D143" s="4">
        <f t="shared" si="12"/>
        <v>71.401499999999999</v>
      </c>
      <c r="E143" s="4">
        <f t="shared" si="13"/>
        <v>0.42876850605652528</v>
      </c>
      <c r="F143" s="4">
        <f t="shared" si="14"/>
        <v>188.25943769138524</v>
      </c>
      <c r="G143" s="6">
        <f t="shared" si="17"/>
        <v>-1.460468183079551E-3</v>
      </c>
      <c r="H143" s="5">
        <f t="shared" si="16"/>
        <v>-0.64124793455904772</v>
      </c>
      <c r="I143" s="7">
        <f t="shared" si="15"/>
        <v>-0.64124800000000004</v>
      </c>
    </row>
    <row r="144" spans="1:9" x14ac:dyDescent="0.3">
      <c r="A144">
        <v>211.02600000000001</v>
      </c>
      <c r="B144" s="3">
        <f>A144/$A$202</f>
        <v>0.70999932709777269</v>
      </c>
      <c r="C144">
        <v>0.72036999999999995</v>
      </c>
      <c r="D144" s="4">
        <f t="shared" si="12"/>
        <v>72.036999999999992</v>
      </c>
      <c r="E144" s="4">
        <f t="shared" si="13"/>
        <v>0.42654777927321713</v>
      </c>
      <c r="F144" s="4">
        <f t="shared" si="14"/>
        <v>189.95014051603388</v>
      </c>
      <c r="G144" s="6">
        <f t="shared" si="17"/>
        <v>-1.5170754769932068E-3</v>
      </c>
      <c r="H144" s="5">
        <f t="shared" si="16"/>
        <v>-0.67558363688891165</v>
      </c>
      <c r="I144" s="7">
        <f t="shared" si="15"/>
        <v>-0.67558399999999996</v>
      </c>
    </row>
    <row r="145" spans="1:9" x14ac:dyDescent="0.3">
      <c r="A145">
        <v>212.512</v>
      </c>
      <c r="B145" s="3">
        <f>A145/$A$202</f>
        <v>0.71499899064665895</v>
      </c>
      <c r="C145">
        <v>0.726692</v>
      </c>
      <c r="D145" s="4">
        <f t="shared" si="12"/>
        <v>72.669200000000004</v>
      </c>
      <c r="E145" s="4">
        <f t="shared" si="13"/>
        <v>0.42425975773890146</v>
      </c>
      <c r="F145" s="4">
        <f t="shared" si="14"/>
        <v>191.60143471255145</v>
      </c>
      <c r="G145" s="6">
        <f t="shared" si="17"/>
        <v>-1.5510398533479597E-3</v>
      </c>
      <c r="H145" s="5">
        <f t="shared" si="16"/>
        <v>-0.70047053904345624</v>
      </c>
      <c r="I145" s="7">
        <f t="shared" si="15"/>
        <v>-0.70047099999999995</v>
      </c>
    </row>
    <row r="146" spans="1:9" x14ac:dyDescent="0.3">
      <c r="A146">
        <v>213.99799999999999</v>
      </c>
      <c r="B146" s="3">
        <f>A146/$A$202</f>
        <v>0.71999865419554532</v>
      </c>
      <c r="C146">
        <v>0.73297900000000005</v>
      </c>
      <c r="D146" s="4">
        <f t="shared" si="12"/>
        <v>73.297899999999998</v>
      </c>
      <c r="E146" s="4">
        <f t="shared" si="13"/>
        <v>0.42193808882906703</v>
      </c>
      <c r="F146" s="4">
        <f t="shared" si="14"/>
        <v>193.22715538699666</v>
      </c>
      <c r="G146" s="6">
        <f t="shared" si="17"/>
        <v>-1.6438049848554348E-3</v>
      </c>
      <c r="H146" s="5">
        <f t="shared" si="16"/>
        <v>-0.7527828599594768</v>
      </c>
      <c r="I146" s="7">
        <f t="shared" si="15"/>
        <v>-0.75278299999999998</v>
      </c>
    </row>
    <row r="147" spans="1:9" x14ac:dyDescent="0.3">
      <c r="A147">
        <v>215.48400000000001</v>
      </c>
      <c r="B147" s="3">
        <f>A147/$A$202</f>
        <v>0.72499831774443169</v>
      </c>
      <c r="C147">
        <v>0.739232</v>
      </c>
      <c r="D147" s="4">
        <f t="shared" si="12"/>
        <v>73.923199999999994</v>
      </c>
      <c r="E147" s="4">
        <f t="shared" si="13"/>
        <v>0.41937436932391109</v>
      </c>
      <c r="F147" s="4">
        <f t="shared" si="14"/>
        <v>194.72958656703744</v>
      </c>
      <c r="G147" s="6">
        <f t="shared" si="17"/>
        <v>-1.7900693740926458E-3</v>
      </c>
      <c r="H147" s="5">
        <f t="shared" si="16"/>
        <v>-0.83118925390060028</v>
      </c>
      <c r="I147" s="7">
        <f t="shared" si="15"/>
        <v>-0.83118899999999996</v>
      </c>
    </row>
    <row r="148" spans="1:9" x14ac:dyDescent="0.3">
      <c r="A148">
        <v>216.971</v>
      </c>
      <c r="B148" s="3">
        <f>A148/$A$202</f>
        <v>0.73000134580445453</v>
      </c>
      <c r="C148">
        <v>0.74544699999999997</v>
      </c>
      <c r="D148" s="4">
        <f t="shared" si="12"/>
        <v>74.544699999999992</v>
      </c>
      <c r="E148" s="4">
        <f t="shared" si="13"/>
        <v>0.41661621257988957</v>
      </c>
      <c r="F148" s="4">
        <f t="shared" si="14"/>
        <v>196.12797652897126</v>
      </c>
      <c r="G148" s="6">
        <f t="shared" si="17"/>
        <v>-1.8991725926619234E-3</v>
      </c>
      <c r="H148" s="5">
        <f t="shared" si="16"/>
        <v>-0.89406236826810215</v>
      </c>
      <c r="I148" s="7">
        <f t="shared" si="15"/>
        <v>-0.89406200000000002</v>
      </c>
    </row>
    <row r="149" spans="1:9" x14ac:dyDescent="0.3">
      <c r="A149">
        <v>218.45699999999999</v>
      </c>
      <c r="B149" s="3">
        <f>A149/$A$202</f>
        <v>0.7350010093533409</v>
      </c>
      <c r="C149">
        <v>0.75161800000000001</v>
      </c>
      <c r="D149" s="4">
        <f t="shared" si="12"/>
        <v>75.161799999999999</v>
      </c>
      <c r="E149" s="4">
        <f t="shared" si="13"/>
        <v>0.41372812920592722</v>
      </c>
      <c r="F149" s="4">
        <f t="shared" si="14"/>
        <v>197.4453817628908</v>
      </c>
      <c r="G149" s="6">
        <f t="shared" si="17"/>
        <v>-2.0133384658152192E-3</v>
      </c>
      <c r="H149" s="5">
        <f t="shared" si="16"/>
        <v>-0.96083479449118336</v>
      </c>
      <c r="I149" s="7">
        <f t="shared" si="15"/>
        <v>-0.96083499999999999</v>
      </c>
    </row>
    <row r="150" spans="1:9" x14ac:dyDescent="0.3">
      <c r="A150">
        <v>219.94300000000001</v>
      </c>
      <c r="B150" s="3">
        <f>A150/$A$202</f>
        <v>0.74000067290222726</v>
      </c>
      <c r="C150">
        <v>0.75774300000000006</v>
      </c>
      <c r="D150" s="4">
        <f t="shared" si="12"/>
        <v>75.774300000000011</v>
      </c>
      <c r="E150" s="4">
        <f t="shared" si="13"/>
        <v>0.41063257065948672</v>
      </c>
      <c r="F150" s="4">
        <f t="shared" si="14"/>
        <v>198.64319089192242</v>
      </c>
      <c r="G150" s="6">
        <f t="shared" si="17"/>
        <v>-2.1057913337429218E-3</v>
      </c>
      <c r="H150" s="5">
        <f t="shared" si="16"/>
        <v>-1.018674941482232</v>
      </c>
      <c r="I150" s="7">
        <f t="shared" si="15"/>
        <v>-1.018675</v>
      </c>
    </row>
    <row r="151" spans="1:9" x14ac:dyDescent="0.3">
      <c r="A151">
        <v>221.429</v>
      </c>
      <c r="B151" s="3">
        <f>A151/$A$202</f>
        <v>0.74500033645111363</v>
      </c>
      <c r="C151">
        <v>0.763822</v>
      </c>
      <c r="D151" s="4">
        <f t="shared" si="12"/>
        <v>76.382199999999997</v>
      </c>
      <c r="E151" s="4">
        <f t="shared" si="13"/>
        <v>0.40746971736204324</v>
      </c>
      <c r="F151" s="4">
        <f t="shared" si="14"/>
        <v>199.78567049680566</v>
      </c>
      <c r="G151" s="6">
        <f t="shared" si="17"/>
        <v>-2.1510771688751408E-3</v>
      </c>
      <c r="H151" s="5">
        <f t="shared" si="16"/>
        <v>-1.0546903884203176</v>
      </c>
      <c r="I151" s="7">
        <f t="shared" si="15"/>
        <v>-1.0546899999999999</v>
      </c>
    </row>
    <row r="152" spans="1:9" x14ac:dyDescent="0.3">
      <c r="A152">
        <v>222.91499999999999</v>
      </c>
      <c r="B152" s="3">
        <f>A152/$A$202</f>
        <v>0.74999999999999989</v>
      </c>
      <c r="C152">
        <v>0.76985300000000001</v>
      </c>
      <c r="D152" s="4">
        <f t="shared" si="12"/>
        <v>76.985299999999995</v>
      </c>
      <c r="E152" s="4">
        <f t="shared" si="13"/>
        <v>0.40423956931358984</v>
      </c>
      <c r="F152" s="4">
        <f t="shared" si="14"/>
        <v>200.87107740953718</v>
      </c>
      <c r="G152" s="6">
        <f t="shared" si="17"/>
        <v>-2.1963630040072999E-3</v>
      </c>
      <c r="H152" s="5">
        <f t="shared" si="16"/>
        <v>-1.0913968757351979</v>
      </c>
      <c r="I152" s="7">
        <f t="shared" si="15"/>
        <v>-1.091397</v>
      </c>
    </row>
    <row r="153" spans="1:9" x14ac:dyDescent="0.3">
      <c r="A153">
        <v>224.40100000000001</v>
      </c>
      <c r="B153" s="3">
        <f>A153/$A$202</f>
        <v>0.75499966354888626</v>
      </c>
      <c r="C153">
        <v>0.77583599999999997</v>
      </c>
      <c r="D153" s="4">
        <f t="shared" si="12"/>
        <v>77.58359999999999</v>
      </c>
      <c r="E153" s="4">
        <f t="shared" si="13"/>
        <v>0.40094212651413352</v>
      </c>
      <c r="F153" s="4">
        <f t="shared" si="14"/>
        <v>201.89765063012061</v>
      </c>
      <c r="G153" s="6">
        <f t="shared" si="17"/>
        <v>-2.2303273803548659E-3</v>
      </c>
      <c r="H153" s="5">
        <f t="shared" si="16"/>
        <v>-1.1230993912878484</v>
      </c>
      <c r="I153" s="7">
        <f t="shared" si="15"/>
        <v>-1.1230990000000001</v>
      </c>
    </row>
    <row r="154" spans="1:9" x14ac:dyDescent="0.3">
      <c r="A154">
        <v>225.887</v>
      </c>
      <c r="B154" s="3">
        <f>A154/$A$202</f>
        <v>0.75999932709777263</v>
      </c>
      <c r="C154">
        <v>0.78176900000000005</v>
      </c>
      <c r="D154" s="4">
        <f t="shared" si="12"/>
        <v>78.176900000000003</v>
      </c>
      <c r="E154" s="4">
        <f t="shared" si="13"/>
        <v>0.39761103633917516</v>
      </c>
      <c r="F154" s="4">
        <f t="shared" si="14"/>
        <v>202.88077987862974</v>
      </c>
      <c r="G154" s="6">
        <f t="shared" si="17"/>
        <v>-2.2642917567111762E-3</v>
      </c>
      <c r="H154" s="5">
        <f t="shared" si="16"/>
        <v>-1.1553534371275571</v>
      </c>
      <c r="I154" s="7">
        <f t="shared" si="15"/>
        <v>-1.1553530000000001</v>
      </c>
    </row>
    <row r="155" spans="1:9" x14ac:dyDescent="0.3">
      <c r="A155">
        <v>227.37299999999999</v>
      </c>
      <c r="B155" s="3">
        <f>A155/$A$202</f>
        <v>0.76499899064665888</v>
      </c>
      <c r="C155">
        <v>0.78765300000000005</v>
      </c>
      <c r="D155" s="4">
        <f t="shared" si="12"/>
        <v>78.765300000000011</v>
      </c>
      <c r="E155" s="4">
        <f t="shared" si="13"/>
        <v>0.39421265141318795</v>
      </c>
      <c r="F155" s="4">
        <f t="shared" si="14"/>
        <v>203.80195319897749</v>
      </c>
      <c r="G155" s="6">
        <f t="shared" si="17"/>
        <v>-2.2982561330658177E-3</v>
      </c>
      <c r="H155" s="5">
        <f t="shared" si="16"/>
        <v>-1.1881635132491168</v>
      </c>
      <c r="I155" s="7">
        <f t="shared" si="15"/>
        <v>-1.188164</v>
      </c>
    </row>
    <row r="156" spans="1:9" x14ac:dyDescent="0.3">
      <c r="A156">
        <v>228.85900000000001</v>
      </c>
      <c r="B156" s="3">
        <f>A156/$A$202</f>
        <v>0.76999865419554536</v>
      </c>
      <c r="C156">
        <v>0.793485</v>
      </c>
      <c r="D156" s="4">
        <f t="shared" si="12"/>
        <v>79.348500000000001</v>
      </c>
      <c r="E156" s="4">
        <f t="shared" si="13"/>
        <v>0.39078061911170353</v>
      </c>
      <c r="F156" s="4">
        <f t="shared" si="14"/>
        <v>204.6769838512534</v>
      </c>
      <c r="G156" s="6">
        <f t="shared" si="17"/>
        <v>-2.3534163518563866E-3</v>
      </c>
      <c r="H156" s="5">
        <f t="shared" si="16"/>
        <v>-1.232635747748011</v>
      </c>
      <c r="I156" s="7">
        <f t="shared" si="15"/>
        <v>-1.2326360000000001</v>
      </c>
    </row>
    <row r="157" spans="1:9" x14ac:dyDescent="0.3">
      <c r="A157">
        <v>230.345</v>
      </c>
      <c r="B157" s="3">
        <f>A157/$A$202</f>
        <v>0.77499831774443162</v>
      </c>
      <c r="C157">
        <v>0.79926699999999995</v>
      </c>
      <c r="D157" s="4">
        <f t="shared" si="12"/>
        <v>79.926699999999997</v>
      </c>
      <c r="E157" s="4">
        <f t="shared" si="13"/>
        <v>0.38721829801547075</v>
      </c>
      <c r="F157" s="4">
        <f t="shared" si="14"/>
        <v>205.45345597571378</v>
      </c>
      <c r="G157" s="6">
        <f t="shared" si="17"/>
        <v>-2.4993164310270163E-3</v>
      </c>
      <c r="H157" s="5">
        <f t="shared" si="16"/>
        <v>-1.3261077820007137</v>
      </c>
      <c r="I157" s="7">
        <f t="shared" si="15"/>
        <v>-1.3261080000000001</v>
      </c>
    </row>
    <row r="158" spans="1:9" x14ac:dyDescent="0.3">
      <c r="A158">
        <v>231.83199999999999</v>
      </c>
      <c r="B158" s="3">
        <f>A158/$A$202</f>
        <v>0.78000134580445457</v>
      </c>
      <c r="C158">
        <v>0.80499699999999996</v>
      </c>
      <c r="D158" s="4">
        <f t="shared" si="12"/>
        <v>80.49969999999999</v>
      </c>
      <c r="E158" s="4">
        <f t="shared" si="13"/>
        <v>0.38335015136226025</v>
      </c>
      <c r="F158" s="4">
        <f t="shared" si="14"/>
        <v>206.03566455597976</v>
      </c>
      <c r="G158" s="6">
        <f t="shared" si="17"/>
        <v>-2.6724121514860697E-3</v>
      </c>
      <c r="H158" s="5">
        <f t="shared" si="16"/>
        <v>-1.4363166719571414</v>
      </c>
      <c r="I158" s="7">
        <f t="shared" si="15"/>
        <v>-1.4363170000000001</v>
      </c>
    </row>
    <row r="159" spans="1:9" x14ac:dyDescent="0.3">
      <c r="A159">
        <v>233.31800000000001</v>
      </c>
      <c r="B159" s="3">
        <f>A159/$A$202</f>
        <v>0.78500100935334094</v>
      </c>
      <c r="C159">
        <v>0.81066400000000005</v>
      </c>
      <c r="D159" s="4">
        <f t="shared" si="12"/>
        <v>81.066400000000002</v>
      </c>
      <c r="E159" s="4">
        <f t="shared" si="13"/>
        <v>0.37927321668910263</v>
      </c>
      <c r="F159" s="4">
        <f t="shared" si="14"/>
        <v>206.46605753894184</v>
      </c>
      <c r="G159" s="6">
        <f t="shared" si="17"/>
        <v>-2.7982853252874855E-3</v>
      </c>
      <c r="H159" s="5">
        <f t="shared" si="16"/>
        <v>-1.5233106730412125</v>
      </c>
      <c r="I159" s="7">
        <f t="shared" si="15"/>
        <v>-1.5233110000000001</v>
      </c>
    </row>
    <row r="160" spans="1:9" x14ac:dyDescent="0.3">
      <c r="A160">
        <v>234.804</v>
      </c>
      <c r="B160" s="3">
        <f>A160/$A$202</f>
        <v>0.7900006729022272</v>
      </c>
      <c r="C160">
        <v>0.81626900000000002</v>
      </c>
      <c r="D160" s="4">
        <f t="shared" si="12"/>
        <v>81.626900000000006</v>
      </c>
      <c r="E160" s="4">
        <f t="shared" si="13"/>
        <v>0.37503364737550582</v>
      </c>
      <c r="F160" s="4">
        <f t="shared" si="14"/>
        <v>206.76699484008674</v>
      </c>
      <c r="G160" s="6">
        <f t="shared" si="17"/>
        <v>-2.864329072239945E-3</v>
      </c>
      <c r="H160" s="5">
        <f t="shared" si="16"/>
        <v>-1.5791882105638186</v>
      </c>
      <c r="I160" s="7">
        <f t="shared" si="15"/>
        <v>-1.579188</v>
      </c>
    </row>
    <row r="161" spans="1:9" x14ac:dyDescent="0.3">
      <c r="A161">
        <v>236.29</v>
      </c>
      <c r="B161" s="3">
        <f>A161/$A$202</f>
        <v>0.79500033645111357</v>
      </c>
      <c r="C161">
        <v>0.82181000000000004</v>
      </c>
      <c r="D161" s="4">
        <f t="shared" si="12"/>
        <v>82.180999999999997</v>
      </c>
      <c r="E161" s="4">
        <f t="shared" si="13"/>
        <v>0.37076043068640557</v>
      </c>
      <c r="F161" s="4">
        <f t="shared" si="14"/>
        <v>207.0065381621462</v>
      </c>
      <c r="G161" s="6">
        <f t="shared" si="17"/>
        <v>-2.8643290722395066E-3</v>
      </c>
      <c r="H161" s="5">
        <f t="shared" si="16"/>
        <v>-1.5992398226093465</v>
      </c>
      <c r="I161" s="7">
        <f t="shared" si="15"/>
        <v>-1.59924</v>
      </c>
    </row>
    <row r="162" spans="1:9" x14ac:dyDescent="0.3">
      <c r="A162">
        <v>237.77600000000001</v>
      </c>
      <c r="B162" s="3">
        <f>A162/$A$202</f>
        <v>0.79999999999999993</v>
      </c>
      <c r="C162">
        <v>0.82728800000000002</v>
      </c>
      <c r="D162" s="4">
        <f t="shared" si="12"/>
        <v>82.728800000000007</v>
      </c>
      <c r="E162" s="4">
        <f t="shared" si="13"/>
        <v>0.36652086137280998</v>
      </c>
      <c r="F162" s="4">
        <f t="shared" si="14"/>
        <v>207.22146141829177</v>
      </c>
      <c r="G162" s="6">
        <f t="shared" si="17"/>
        <v>-2.8756505310210574E-3</v>
      </c>
      <c r="H162" s="5">
        <f t="shared" si="16"/>
        <v>-1.6258187960557824</v>
      </c>
      <c r="I162" s="7">
        <f t="shared" si="15"/>
        <v>-1.6258189999999999</v>
      </c>
    </row>
    <row r="163" spans="1:9" x14ac:dyDescent="0.3">
      <c r="A163">
        <v>239.262</v>
      </c>
      <c r="B163" s="3">
        <f>A163/$A$202</f>
        <v>0.8049996635488863</v>
      </c>
      <c r="C163">
        <v>0.83270299999999997</v>
      </c>
      <c r="D163" s="4">
        <f t="shared" si="12"/>
        <v>83.270299999999992</v>
      </c>
      <c r="E163" s="4">
        <f t="shared" si="13"/>
        <v>0.36221399730821097</v>
      </c>
      <c r="F163" s="4">
        <f t="shared" si="14"/>
        <v>207.3541283622684</v>
      </c>
      <c r="G163" s="6">
        <f t="shared" si="17"/>
        <v>-2.8982934485868761E-3</v>
      </c>
      <c r="H163" s="5">
        <f t="shared" si="16"/>
        <v>-1.6591658970551366</v>
      </c>
      <c r="I163" s="7">
        <f t="shared" si="15"/>
        <v>-1.6591659999999999</v>
      </c>
    </row>
    <row r="164" spans="1:9" x14ac:dyDescent="0.3">
      <c r="A164">
        <v>240.74799999999999</v>
      </c>
      <c r="B164" s="3">
        <f>A164/$A$202</f>
        <v>0.80999932709777256</v>
      </c>
      <c r="C164">
        <v>0.83805300000000005</v>
      </c>
      <c r="D164" s="4">
        <f t="shared" si="12"/>
        <v>83.805300000000003</v>
      </c>
      <c r="E164" s="4">
        <f t="shared" si="13"/>
        <v>0.35790713324360984</v>
      </c>
      <c r="F164" s="4">
        <f t="shared" si="14"/>
        <v>207.44154102424389</v>
      </c>
      <c r="G164" s="6">
        <f t="shared" si="17"/>
        <v>-2.8982934485896313E-3</v>
      </c>
      <c r="H164" s="5">
        <f t="shared" si="16"/>
        <v>-1.6798392752532203</v>
      </c>
      <c r="I164" s="7">
        <f t="shared" si="15"/>
        <v>-1.6798390000000001</v>
      </c>
    </row>
    <row r="165" spans="1:9" x14ac:dyDescent="0.3">
      <c r="A165">
        <v>242.23400000000001</v>
      </c>
      <c r="B165" s="3">
        <f>A165/$A$202</f>
        <v>0.81499899064665904</v>
      </c>
      <c r="C165">
        <v>0.84333999999999998</v>
      </c>
      <c r="D165" s="4">
        <f t="shared" si="12"/>
        <v>84.334000000000003</v>
      </c>
      <c r="E165" s="4">
        <f t="shared" si="13"/>
        <v>0.35360026917900256</v>
      </c>
      <c r="F165" s="4">
        <f t="shared" si="14"/>
        <v>207.48312878021585</v>
      </c>
      <c r="G165" s="6">
        <f t="shared" si="17"/>
        <v>-2.9096149073728817E-3</v>
      </c>
      <c r="H165" s="5">
        <f t="shared" si="16"/>
        <v>-1.7072837810020876</v>
      </c>
      <c r="I165" s="7">
        <f t="shared" si="15"/>
        <v>-1.707284</v>
      </c>
    </row>
    <row r="166" spans="1:9" x14ac:dyDescent="0.3">
      <c r="A166">
        <v>243.72</v>
      </c>
      <c r="B166" s="3">
        <f>A166/$A$202</f>
        <v>0.8199986541955453</v>
      </c>
      <c r="C166">
        <v>0.84856200000000004</v>
      </c>
      <c r="D166" s="4">
        <f t="shared" si="12"/>
        <v>84.856200000000001</v>
      </c>
      <c r="E166" s="4">
        <f t="shared" si="13"/>
        <v>0.34925975773889761</v>
      </c>
      <c r="F166" s="4">
        <f t="shared" si="14"/>
        <v>207.45833465410573</v>
      </c>
      <c r="G166" s="6">
        <f t="shared" si="17"/>
        <v>-2.948655470927574E-3</v>
      </c>
      <c r="H166" s="5">
        <f t="shared" si="16"/>
        <v>-1.7514847900818542</v>
      </c>
      <c r="I166" s="7">
        <f t="shared" si="15"/>
        <v>-1.751485</v>
      </c>
    </row>
    <row r="167" spans="1:9" x14ac:dyDescent="0.3">
      <c r="A167">
        <v>245.20599999999999</v>
      </c>
      <c r="B167" s="3">
        <f>A167/$A$202</f>
        <v>0.82499831774443166</v>
      </c>
      <c r="C167">
        <v>0.85372000000000003</v>
      </c>
      <c r="D167" s="4">
        <f t="shared" si="12"/>
        <v>85.372</v>
      </c>
      <c r="E167" s="4">
        <f t="shared" si="13"/>
        <v>0.34483686511940587</v>
      </c>
      <c r="F167" s="4">
        <f t="shared" si="14"/>
        <v>207.33655295454696</v>
      </c>
      <c r="G167" s="6">
        <f t="shared" si="17"/>
        <v>-2.9358587369006889E-3</v>
      </c>
      <c r="H167" s="5">
        <f t="shared" si="16"/>
        <v>-1.7652139084946794</v>
      </c>
      <c r="I167" s="7">
        <f t="shared" si="15"/>
        <v>-1.7652140000000001</v>
      </c>
    </row>
    <row r="168" spans="1:9" x14ac:dyDescent="0.3">
      <c r="A168">
        <v>246.69300000000001</v>
      </c>
      <c r="B168" s="3">
        <f>A168/$A$202</f>
        <v>0.83000134580445462</v>
      </c>
      <c r="C168">
        <v>0.85881399999999997</v>
      </c>
      <c r="D168" s="4">
        <f t="shared" si="12"/>
        <v>85.881399999999999</v>
      </c>
      <c r="E168" s="4">
        <f t="shared" si="13"/>
        <v>0.34053144971409183</v>
      </c>
      <c r="F168" s="4">
        <f t="shared" si="14"/>
        <v>207.23870991754893</v>
      </c>
      <c r="G168" s="6">
        <f t="shared" si="17"/>
        <v>-2.8582911450776151E-3</v>
      </c>
      <c r="H168" s="5">
        <f t="shared" si="16"/>
        <v>-1.739482711426422</v>
      </c>
      <c r="I168" s="7">
        <f t="shared" si="15"/>
        <v>-1.7394829999999999</v>
      </c>
    </row>
    <row r="169" spans="1:9" x14ac:dyDescent="0.3">
      <c r="A169">
        <v>248.179</v>
      </c>
      <c r="B169" s="3">
        <f>A169/$A$202</f>
        <v>0.83500100935334087</v>
      </c>
      <c r="C169">
        <v>0.86384399999999995</v>
      </c>
      <c r="D169" s="4">
        <f t="shared" si="12"/>
        <v>86.384399999999999</v>
      </c>
      <c r="E169" s="4">
        <f t="shared" si="13"/>
        <v>0.33633916554509008</v>
      </c>
      <c r="F169" s="4">
        <f t="shared" si="14"/>
        <v>207.1607635080218</v>
      </c>
      <c r="G169" s="6">
        <f t="shared" si="17"/>
        <v>-2.8710617796478314E-3</v>
      </c>
      <c r="H169" s="5">
        <f t="shared" si="16"/>
        <v>-1.7683678003619494</v>
      </c>
      <c r="I169" s="7">
        <f t="shared" si="15"/>
        <v>-1.7683679999999999</v>
      </c>
    </row>
    <row r="170" spans="1:9" x14ac:dyDescent="0.3">
      <c r="A170">
        <v>249.66499999999999</v>
      </c>
      <c r="B170" s="3">
        <f>A170/$A$202</f>
        <v>0.84000067290222724</v>
      </c>
      <c r="C170">
        <v>0.86880999999999997</v>
      </c>
      <c r="D170" s="4">
        <f t="shared" si="12"/>
        <v>86.881</v>
      </c>
      <c r="E170" s="4">
        <f t="shared" si="13"/>
        <v>0.33199865410497853</v>
      </c>
      <c r="F170" s="4">
        <f t="shared" si="14"/>
        <v>206.9434336554753</v>
      </c>
      <c r="G170" s="6">
        <f t="shared" si="17"/>
        <v>-2.9096149073734793E-3</v>
      </c>
      <c r="H170" s="5">
        <f t="shared" si="16"/>
        <v>-1.8136389774539039</v>
      </c>
      <c r="I170" s="7">
        <f t="shared" si="15"/>
        <v>-1.813639</v>
      </c>
    </row>
    <row r="171" spans="1:9" x14ac:dyDescent="0.3">
      <c r="A171">
        <v>251.15100000000001</v>
      </c>
      <c r="B171" s="3">
        <f>A171/$A$202</f>
        <v>0.84500033645111361</v>
      </c>
      <c r="C171">
        <v>0.87371100000000002</v>
      </c>
      <c r="D171" s="4">
        <f t="shared" si="12"/>
        <v>87.371099999999998</v>
      </c>
      <c r="E171" s="4">
        <f t="shared" si="13"/>
        <v>0.32769179004037607</v>
      </c>
      <c r="F171" s="4">
        <f t="shared" si="14"/>
        <v>206.69757629102881</v>
      </c>
      <c r="G171" s="6">
        <f t="shared" si="17"/>
        <v>-2.8869719898035047E-3</v>
      </c>
      <c r="H171" s="5">
        <f t="shared" si="16"/>
        <v>-1.8210102640623003</v>
      </c>
      <c r="I171" s="7">
        <f t="shared" si="15"/>
        <v>-1.82101</v>
      </c>
    </row>
    <row r="172" spans="1:9" x14ac:dyDescent="0.3">
      <c r="A172">
        <v>252.637</v>
      </c>
      <c r="B172" s="3">
        <f>A172/$A$202</f>
        <v>0.85</v>
      </c>
      <c r="C172">
        <v>0.87854900000000002</v>
      </c>
      <c r="D172" s="4">
        <f t="shared" si="12"/>
        <v>87.854900000000001</v>
      </c>
      <c r="E172" s="4">
        <f t="shared" si="13"/>
        <v>0.32341857335128249</v>
      </c>
      <c r="F172" s="4">
        <f t="shared" si="14"/>
        <v>206.42337201468217</v>
      </c>
      <c r="G172" s="6">
        <f t="shared" si="17"/>
        <v>-2.8530076134543969E-3</v>
      </c>
      <c r="H172" s="5">
        <f t="shared" si="16"/>
        <v>-1.8209450553513864</v>
      </c>
      <c r="I172" s="7">
        <f t="shared" si="15"/>
        <v>-1.820945</v>
      </c>
    </row>
    <row r="173" spans="1:9" x14ac:dyDescent="0.3">
      <c r="A173">
        <v>254.12299999999999</v>
      </c>
      <c r="B173" s="3">
        <f>A173/$A$202</f>
        <v>0.85499966354888624</v>
      </c>
      <c r="C173">
        <v>0.88332299999999997</v>
      </c>
      <c r="D173" s="4">
        <f t="shared" si="12"/>
        <v>88.332300000000004</v>
      </c>
      <c r="E173" s="4">
        <f t="shared" si="13"/>
        <v>0.31921265141318966</v>
      </c>
      <c r="F173" s="4">
        <f t="shared" si="14"/>
        <v>206.1427393125245</v>
      </c>
      <c r="G173" s="6">
        <f t="shared" si="17"/>
        <v>-2.8303646958917914E-3</v>
      </c>
      <c r="H173" s="5">
        <f t="shared" si="16"/>
        <v>-1.8278070404840037</v>
      </c>
      <c r="I173" s="7">
        <f t="shared" si="15"/>
        <v>-1.827807</v>
      </c>
    </row>
    <row r="174" spans="1:9" x14ac:dyDescent="0.3">
      <c r="A174">
        <v>255.60900000000001</v>
      </c>
      <c r="B174" s="3">
        <f>A174/$A$202</f>
        <v>0.8599993270977726</v>
      </c>
      <c r="C174">
        <v>0.88803600000000005</v>
      </c>
      <c r="D174" s="4">
        <f t="shared" si="12"/>
        <v>88.803600000000003</v>
      </c>
      <c r="E174" s="4">
        <f t="shared" si="13"/>
        <v>0.31500672947509206</v>
      </c>
      <c r="F174" s="4">
        <f t="shared" si="14"/>
        <v>205.81267354236365</v>
      </c>
      <c r="G174" s="6">
        <f t="shared" si="17"/>
        <v>-2.8190432371041807E-3</v>
      </c>
      <c r="H174" s="5">
        <f t="shared" si="16"/>
        <v>-1.8418489866128638</v>
      </c>
      <c r="I174" s="7">
        <f t="shared" si="15"/>
        <v>-1.8418490000000001</v>
      </c>
    </row>
    <row r="175" spans="1:9" x14ac:dyDescent="0.3">
      <c r="A175">
        <v>257.09500000000003</v>
      </c>
      <c r="B175" s="3">
        <f>A175/$A$202</f>
        <v>0.86499899064665908</v>
      </c>
      <c r="C175">
        <v>0.89268499999999995</v>
      </c>
      <c r="D175" s="4">
        <f t="shared" si="12"/>
        <v>89.268499999999989</v>
      </c>
      <c r="E175" s="4">
        <f t="shared" si="13"/>
        <v>0.31083445491251593</v>
      </c>
      <c r="F175" s="4">
        <f t="shared" si="14"/>
        <v>205.45485764231103</v>
      </c>
      <c r="G175" s="6">
        <f t="shared" si="17"/>
        <v>-2.7737574019648932E-3</v>
      </c>
      <c r="H175" s="5">
        <f t="shared" si="16"/>
        <v>-1.8333937024947777</v>
      </c>
      <c r="I175" s="7">
        <f t="shared" si="15"/>
        <v>-1.833394</v>
      </c>
    </row>
    <row r="176" spans="1:9" x14ac:dyDescent="0.3">
      <c r="A176">
        <v>258.58100000000002</v>
      </c>
      <c r="B176" s="3">
        <f>A176/$A$202</f>
        <v>0.86999865419554534</v>
      </c>
      <c r="C176">
        <v>0.89727400000000002</v>
      </c>
      <c r="D176" s="4">
        <f t="shared" si="12"/>
        <v>89.727400000000003</v>
      </c>
      <c r="E176" s="4">
        <f t="shared" si="13"/>
        <v>0.30676312247645238</v>
      </c>
      <c r="F176" s="4">
        <f t="shared" si="14"/>
        <v>205.11450392854917</v>
      </c>
      <c r="G176" s="6">
        <f t="shared" si="17"/>
        <v>-2.7853682757755555E-3</v>
      </c>
      <c r="H176" s="5">
        <f t="shared" si="16"/>
        <v>-1.8624123640802908</v>
      </c>
      <c r="I176" s="7">
        <f t="shared" si="15"/>
        <v>-1.862412</v>
      </c>
    </row>
    <row r="177" spans="1:9" x14ac:dyDescent="0.3">
      <c r="A177">
        <v>260.06700000000001</v>
      </c>
      <c r="B177" s="3">
        <f>A177/$A$202</f>
        <v>0.87499831774443171</v>
      </c>
      <c r="C177">
        <v>0.90180199999999999</v>
      </c>
      <c r="D177" s="4">
        <f t="shared" si="12"/>
        <v>90.180199999999999</v>
      </c>
      <c r="E177" s="4">
        <f t="shared" si="13"/>
        <v>0.30255634039691104</v>
      </c>
      <c r="F177" s="4">
        <f t="shared" si="14"/>
        <v>204.63351031906029</v>
      </c>
      <c r="G177" s="6">
        <f t="shared" si="17"/>
        <v>-2.9649922655727939E-3</v>
      </c>
      <c r="H177" s="5">
        <f t="shared" si="16"/>
        <v>-2.0053679079310371</v>
      </c>
      <c r="I177" s="7">
        <f t="shared" si="15"/>
        <v>-2.0053679999999998</v>
      </c>
    </row>
    <row r="178" spans="1:9" x14ac:dyDescent="0.3">
      <c r="A178">
        <v>261.55399999999997</v>
      </c>
      <c r="B178" s="3">
        <f>A178/$A$202</f>
        <v>0.88000134580445444</v>
      </c>
      <c r="C178">
        <v>0.90626899999999999</v>
      </c>
      <c r="D178" s="4">
        <f t="shared" si="12"/>
        <v>90.626900000000006</v>
      </c>
      <c r="E178" s="4">
        <f t="shared" si="13"/>
        <v>0.29794820047090459</v>
      </c>
      <c r="F178" s="4">
        <f t="shared" si="14"/>
        <v>203.82783853546164</v>
      </c>
      <c r="G178" s="6">
        <f t="shared" si="17"/>
        <v>-3.2365587799883001E-3</v>
      </c>
      <c r="H178" s="5">
        <f t="shared" si="16"/>
        <v>-2.2141458796372473</v>
      </c>
      <c r="I178" s="7">
        <f t="shared" si="15"/>
        <v>-2.2141459999999999</v>
      </c>
    </row>
    <row r="179" spans="1:9" x14ac:dyDescent="0.3">
      <c r="A179">
        <v>263.04000000000002</v>
      </c>
      <c r="B179" s="3">
        <f>A179/$A$202</f>
        <v>0.88500100935334092</v>
      </c>
      <c r="C179">
        <v>0.91066000000000003</v>
      </c>
      <c r="D179" s="4">
        <f t="shared" si="12"/>
        <v>91.066000000000003</v>
      </c>
      <c r="E179" s="4">
        <f t="shared" si="13"/>
        <v>0.29293405114400578</v>
      </c>
      <c r="F179" s="4">
        <f t="shared" si="14"/>
        <v>202.68119184710289</v>
      </c>
      <c r="G179" s="6">
        <f t="shared" si="17"/>
        <v>-3.3853484699192114E-3</v>
      </c>
      <c r="H179" s="5">
        <f t="shared" si="16"/>
        <v>-2.3423240146420663</v>
      </c>
      <c r="I179" s="7">
        <f t="shared" si="15"/>
        <v>-2.3423240000000001</v>
      </c>
    </row>
    <row r="180" spans="1:9" x14ac:dyDescent="0.3">
      <c r="A180">
        <v>264.52600000000001</v>
      </c>
      <c r="B180" s="3">
        <f>A180/$A$202</f>
        <v>0.89000067290222729</v>
      </c>
      <c r="C180">
        <v>0.91497499999999998</v>
      </c>
      <c r="D180" s="4">
        <f t="shared" si="12"/>
        <v>91.497500000000002</v>
      </c>
      <c r="E180" s="4">
        <f t="shared" si="13"/>
        <v>0.28788694481830457</v>
      </c>
      <c r="F180" s="4">
        <f t="shared" si="14"/>
        <v>201.44602422875403</v>
      </c>
      <c r="G180" s="6">
        <f t="shared" si="17"/>
        <v>-3.3737947174970317E-3</v>
      </c>
      <c r="H180" s="5">
        <f t="shared" si="16"/>
        <v>-2.3607792733800141</v>
      </c>
      <c r="I180" s="7">
        <f t="shared" si="15"/>
        <v>-2.360779</v>
      </c>
    </row>
    <row r="181" spans="1:9" x14ac:dyDescent="0.3">
      <c r="A181">
        <v>266.012</v>
      </c>
      <c r="B181" s="3">
        <f>A181/$A$202</f>
        <v>0.89500033645111354</v>
      </c>
      <c r="C181">
        <v>0.91921600000000003</v>
      </c>
      <c r="D181" s="4">
        <f t="shared" si="12"/>
        <v>91.921599999999998</v>
      </c>
      <c r="E181" s="4">
        <f t="shared" si="13"/>
        <v>0.28290713324360467</v>
      </c>
      <c r="F181" s="4">
        <f t="shared" si="14"/>
        <v>200.19183239661746</v>
      </c>
      <c r="G181" s="6">
        <f t="shared" si="17"/>
        <v>-3.3285088823632267E-3</v>
      </c>
      <c r="H181" s="5">
        <f t="shared" si="16"/>
        <v>-2.3553322416050277</v>
      </c>
      <c r="I181" s="7">
        <f t="shared" si="15"/>
        <v>-2.3553320000000002</v>
      </c>
    </row>
    <row r="182" spans="1:9" x14ac:dyDescent="0.3">
      <c r="A182">
        <v>267.49799999999999</v>
      </c>
      <c r="B182" s="3">
        <f>A182/$A$202</f>
        <v>0.89999999999999991</v>
      </c>
      <c r="C182">
        <v>0.92338299999999995</v>
      </c>
      <c r="D182" s="4">
        <f t="shared" si="12"/>
        <v>92.33829999999999</v>
      </c>
      <c r="E182" s="4">
        <f t="shared" si="13"/>
        <v>0.27799461641992113</v>
      </c>
      <c r="F182" s="4">
        <f t="shared" si="14"/>
        <v>198.91954818070388</v>
      </c>
      <c r="G182" s="6">
        <f t="shared" si="17"/>
        <v>-3.2605801296614451E-3</v>
      </c>
      <c r="H182" s="5">
        <f t="shared" si="16"/>
        <v>-2.3331139809539034</v>
      </c>
      <c r="I182" s="7">
        <f t="shared" si="15"/>
        <v>-2.3331140000000001</v>
      </c>
    </row>
    <row r="183" spans="1:9" x14ac:dyDescent="0.3">
      <c r="A183">
        <v>268.98399999999998</v>
      </c>
      <c r="B183" s="3">
        <f>A183/$A$202</f>
        <v>0.90499966354888617</v>
      </c>
      <c r="C183">
        <v>0.92747800000000002</v>
      </c>
      <c r="D183" s="4">
        <f t="shared" si="12"/>
        <v>92.747799999999998</v>
      </c>
      <c r="E183" s="4">
        <f t="shared" si="13"/>
        <v>0.27321668909825092</v>
      </c>
      <c r="F183" s="4">
        <f t="shared" si="14"/>
        <v>197.67881060522248</v>
      </c>
      <c r="G183" s="6">
        <f t="shared" si="17"/>
        <v>-3.1813299181786868E-3</v>
      </c>
      <c r="H183" s="5">
        <f t="shared" si="16"/>
        <v>-2.3017683013581274</v>
      </c>
      <c r="I183" s="7">
        <f t="shared" si="15"/>
        <v>-2.301768</v>
      </c>
    </row>
    <row r="184" spans="1:9" x14ac:dyDescent="0.3">
      <c r="A184">
        <v>270.47000000000003</v>
      </c>
      <c r="B184" s="3">
        <f>A184/$A$202</f>
        <v>0.90999932709777265</v>
      </c>
      <c r="C184">
        <v>0.93150299999999997</v>
      </c>
      <c r="D184" s="4">
        <f t="shared" si="12"/>
        <v>93.150300000000001</v>
      </c>
      <c r="E184" s="4">
        <f t="shared" si="13"/>
        <v>0.26853970390309395</v>
      </c>
      <c r="F184" s="4">
        <f t="shared" si="14"/>
        <v>196.44759111806749</v>
      </c>
      <c r="G184" s="6">
        <f t="shared" si="17"/>
        <v>-3.124722624258793E-3</v>
      </c>
      <c r="H184" s="5">
        <f t="shared" si="16"/>
        <v>-2.2858602416173066</v>
      </c>
      <c r="I184" s="7">
        <f t="shared" si="15"/>
        <v>-2.28586</v>
      </c>
    </row>
    <row r="185" spans="1:9" x14ac:dyDescent="0.3">
      <c r="A185">
        <v>271.95600000000002</v>
      </c>
      <c r="B185" s="3">
        <f>A185/$A$202</f>
        <v>0.91499899064665902</v>
      </c>
      <c r="C185">
        <v>0.93545900000000004</v>
      </c>
      <c r="D185" s="4">
        <f t="shared" si="12"/>
        <v>93.545900000000003</v>
      </c>
      <c r="E185" s="4">
        <f t="shared" si="13"/>
        <v>0.26393001345895367</v>
      </c>
      <c r="F185" s="4">
        <f t="shared" si="14"/>
        <v>195.20281197913582</v>
      </c>
      <c r="G185" s="6">
        <f t="shared" si="17"/>
        <v>-3.0681153303408633E-3</v>
      </c>
      <c r="H185" s="5">
        <f t="shared" si="16"/>
        <v>-2.2691801213126275</v>
      </c>
      <c r="I185" s="7">
        <f t="shared" si="15"/>
        <v>-2.26918</v>
      </c>
    </row>
    <row r="186" spans="1:9" x14ac:dyDescent="0.3">
      <c r="A186">
        <v>273.44200000000001</v>
      </c>
      <c r="B186" s="3">
        <f>A186/$A$202</f>
        <v>0.91999865419554527</v>
      </c>
      <c r="C186">
        <v>0.93934700000000004</v>
      </c>
      <c r="D186" s="4">
        <f t="shared" si="12"/>
        <v>93.934700000000007</v>
      </c>
      <c r="E186" s="4">
        <f t="shared" si="13"/>
        <v>0.25942126514132097</v>
      </c>
      <c r="F186" s="4">
        <f t="shared" si="14"/>
        <v>193.97064804052641</v>
      </c>
      <c r="G186" s="6">
        <f t="shared" si="17"/>
        <v>-3.0177304594510321E-3</v>
      </c>
      <c r="H186" s="5">
        <f t="shared" si="16"/>
        <v>-2.2563729789555969</v>
      </c>
      <c r="I186" s="7">
        <f t="shared" si="15"/>
        <v>-2.256373</v>
      </c>
    </row>
    <row r="187" spans="1:9" x14ac:dyDescent="0.3">
      <c r="A187">
        <v>274.928</v>
      </c>
      <c r="B187" s="3">
        <f>A187/$A$202</f>
        <v>0.92499831774443164</v>
      </c>
      <c r="C187">
        <v>0.94316900000000004</v>
      </c>
      <c r="D187" s="4">
        <f t="shared" si="12"/>
        <v>94.316900000000004</v>
      </c>
      <c r="E187" s="4">
        <f t="shared" si="13"/>
        <v>0.25496131853346526</v>
      </c>
      <c r="F187" s="4">
        <f t="shared" si="14"/>
        <v>192.7135456759886</v>
      </c>
      <c r="G187" s="6">
        <f t="shared" si="17"/>
        <v>-3.6045251828794628E-3</v>
      </c>
      <c r="H187" s="5">
        <f t="shared" si="16"/>
        <v>-2.7244949644387586</v>
      </c>
      <c r="I187" s="7">
        <f t="shared" si="15"/>
        <v>-2.7244950000000001</v>
      </c>
    </row>
    <row r="188" spans="1:9" x14ac:dyDescent="0.3">
      <c r="A188">
        <v>276.41500000000002</v>
      </c>
      <c r="B188" s="3">
        <f>A188/$A$202</f>
        <v>0.93000134580445459</v>
      </c>
      <c r="C188">
        <v>0.94692699999999996</v>
      </c>
      <c r="D188" s="4">
        <f t="shared" si="12"/>
        <v>94.692700000000002</v>
      </c>
      <c r="E188" s="4">
        <f t="shared" si="13"/>
        <v>0.24870501177262028</v>
      </c>
      <c r="F188" s="4">
        <f t="shared" si="14"/>
        <v>190.02369154108649</v>
      </c>
      <c r="G188" s="6">
        <f t="shared" si="17"/>
        <v>-4.7924635629894609E-3</v>
      </c>
      <c r="H188" s="5">
        <f t="shared" si="16"/>
        <v>-3.66169387309332</v>
      </c>
      <c r="I188" s="7">
        <f t="shared" si="15"/>
        <v>-3.6616939999999998</v>
      </c>
    </row>
    <row r="189" spans="1:9" x14ac:dyDescent="0.3">
      <c r="A189">
        <v>277.90100000000001</v>
      </c>
      <c r="B189" s="3">
        <f>A189/$A$202</f>
        <v>0.93500100935334096</v>
      </c>
      <c r="C189">
        <v>0.95056300000000005</v>
      </c>
      <c r="D189" s="4">
        <f t="shared" si="12"/>
        <v>95.056300000000007</v>
      </c>
      <c r="E189" s="4">
        <f t="shared" si="13"/>
        <v>0.24071332436069753</v>
      </c>
      <c r="F189" s="4">
        <f t="shared" si="14"/>
        <v>185.90041094897333</v>
      </c>
      <c r="G189" s="6">
        <f t="shared" si="17"/>
        <v>-5.3382144280025457E-3</v>
      </c>
      <c r="H189" s="5">
        <f t="shared" si="16"/>
        <v>-4.1226477949861344</v>
      </c>
      <c r="I189" s="7">
        <f t="shared" si="15"/>
        <v>-4.1226479999999999</v>
      </c>
    </row>
    <row r="190" spans="1:9" x14ac:dyDescent="0.3">
      <c r="A190">
        <v>279.387</v>
      </c>
      <c r="B190" s="3">
        <f>A190/$A$202</f>
        <v>0.94000067290222722</v>
      </c>
      <c r="C190">
        <v>0.95408099999999996</v>
      </c>
      <c r="D190" s="4">
        <f t="shared" si="12"/>
        <v>95.40809999999999</v>
      </c>
      <c r="E190" s="4">
        <f t="shared" si="13"/>
        <v>0.23283983849259682</v>
      </c>
      <c r="F190" s="4">
        <f t="shared" si="14"/>
        <v>181.74801572055119</v>
      </c>
      <c r="G190" s="6">
        <f t="shared" si="17"/>
        <v>-5.207871040430587E-3</v>
      </c>
      <c r="H190" s="5">
        <f t="shared" si="16"/>
        <v>-4.0651128855549201</v>
      </c>
      <c r="I190" s="7">
        <f t="shared" si="15"/>
        <v>-4.0651130000000002</v>
      </c>
    </row>
    <row r="191" spans="1:9" x14ac:dyDescent="0.3">
      <c r="A191">
        <v>280.87299999999999</v>
      </c>
      <c r="B191" s="3">
        <f>A191/$A$202</f>
        <v>0.94500033645111359</v>
      </c>
      <c r="C191">
        <v>0.95748299999999997</v>
      </c>
      <c r="D191" s="4">
        <f t="shared" si="12"/>
        <v>95.7483</v>
      </c>
      <c r="E191" s="4">
        <f t="shared" si="13"/>
        <v>0.22523553162853793</v>
      </c>
      <c r="F191" s="4">
        <f t="shared" si="14"/>
        <v>177.68750484910419</v>
      </c>
      <c r="G191" s="6">
        <f t="shared" si="17"/>
        <v>-5.0154062411133021E-3</v>
      </c>
      <c r="H191" s="5">
        <f t="shared" si="16"/>
        <v>-3.9566360349298146</v>
      </c>
      <c r="I191" s="7">
        <f t="shared" si="15"/>
        <v>-3.956636</v>
      </c>
    </row>
    <row r="192" spans="1:9" x14ac:dyDescent="0.3">
      <c r="A192">
        <v>282.35899999999998</v>
      </c>
      <c r="B192" s="3">
        <f>A192/$A$202</f>
        <v>0.94999999999999984</v>
      </c>
      <c r="C192">
        <v>0.96077500000000005</v>
      </c>
      <c r="D192" s="4">
        <f t="shared" si="12"/>
        <v>96.077500000000001</v>
      </c>
      <c r="E192" s="4">
        <f t="shared" si="13"/>
        <v>0.21793405114400818</v>
      </c>
      <c r="F192" s="4">
        <f t="shared" si="14"/>
        <v>173.75141985673983</v>
      </c>
      <c r="G192" s="6">
        <f t="shared" si="17"/>
        <v>-4.845584359360707E-3</v>
      </c>
      <c r="H192" s="5">
        <f t="shared" si="16"/>
        <v>-3.8632198963630455</v>
      </c>
      <c r="I192" s="7">
        <f t="shared" si="15"/>
        <v>-3.8632200000000001</v>
      </c>
    </row>
    <row r="193" spans="1:9" x14ac:dyDescent="0.3">
      <c r="A193">
        <v>283.84500000000003</v>
      </c>
      <c r="B193" s="3">
        <f>A193/$A$202</f>
        <v>0.95499966354888632</v>
      </c>
      <c r="C193">
        <v>0.96396000000000004</v>
      </c>
      <c r="D193" s="4">
        <f t="shared" si="12"/>
        <v>96.396000000000001</v>
      </c>
      <c r="E193" s="4">
        <f t="shared" si="13"/>
        <v>0.21083445491251773</v>
      </c>
      <c r="F193" s="4">
        <f t="shared" si="14"/>
        <v>169.86506995311316</v>
      </c>
      <c r="G193" s="6">
        <f t="shared" si="17"/>
        <v>-4.6870839363894129E-3</v>
      </c>
      <c r="H193" s="5">
        <f t="shared" si="16"/>
        <v>-3.7762890371085645</v>
      </c>
      <c r="I193" s="7">
        <f t="shared" si="15"/>
        <v>-3.7762889999999998</v>
      </c>
    </row>
    <row r="194" spans="1:9" x14ac:dyDescent="0.3">
      <c r="A194">
        <v>285.33100000000002</v>
      </c>
      <c r="B194" s="3">
        <f>A194/$A$202</f>
        <v>0.95999932709777269</v>
      </c>
      <c r="C194">
        <v>0.96704100000000004</v>
      </c>
      <c r="D194" s="4">
        <f t="shared" si="12"/>
        <v>96.704100000000011</v>
      </c>
      <c r="E194" s="4">
        <f t="shared" si="13"/>
        <v>0.20400403768505868</v>
      </c>
      <c r="F194" s="4">
        <f t="shared" si="14"/>
        <v>166.08739753645307</v>
      </c>
      <c r="G194" s="6">
        <f t="shared" si="17"/>
        <v>-4.5059405958531706E-3</v>
      </c>
      <c r="H194" s="5">
        <f t="shared" si="16"/>
        <v>-3.6684565438575105</v>
      </c>
      <c r="I194" s="7">
        <f t="shared" si="15"/>
        <v>-3.6684570000000001</v>
      </c>
    </row>
    <row r="195" spans="1:9" x14ac:dyDescent="0.3">
      <c r="A195">
        <v>286.81700000000001</v>
      </c>
      <c r="B195" s="3">
        <f>A195/$A$202</f>
        <v>0.96499899064665895</v>
      </c>
      <c r="C195">
        <v>0.97002299999999997</v>
      </c>
      <c r="D195" s="4">
        <f t="shared" ref="D195:D258" si="18">C195*100</f>
        <v>97.002299999999991</v>
      </c>
      <c r="E195" s="4">
        <f t="shared" si="13"/>
        <v>0.1974427994616422</v>
      </c>
      <c r="F195" s="4">
        <f t="shared" si="14"/>
        <v>162.4243277447687</v>
      </c>
      <c r="G195" s="6">
        <f t="shared" si="17"/>
        <v>-4.33611871409725E-3</v>
      </c>
      <c r="H195" s="5">
        <f t="shared" si="16"/>
        <v>-3.5670643299178981</v>
      </c>
      <c r="I195" s="7">
        <f t="shared" si="15"/>
        <v>-3.5670639999999998</v>
      </c>
    </row>
    <row r="196" spans="1:9" x14ac:dyDescent="0.3">
      <c r="A196">
        <v>288.303</v>
      </c>
      <c r="B196" s="3">
        <f>A196/$A$202</f>
        <v>0.96999865419554532</v>
      </c>
      <c r="C196">
        <v>0.97290900000000002</v>
      </c>
      <c r="D196" s="4">
        <f t="shared" si="18"/>
        <v>97.290900000000008</v>
      </c>
      <c r="E196" s="4">
        <f t="shared" ref="E196:E259" si="19">(D197-D195)/(A197-A195)</f>
        <v>0.19111709286676173</v>
      </c>
      <c r="F196" s="4">
        <f t="shared" ref="F196:F259" si="20">E196*0.01*A196*A196</f>
        <v>158.85388980993716</v>
      </c>
      <c r="G196" s="6">
        <f t="shared" si="17"/>
        <v>-4.1872413406936525E-3</v>
      </c>
      <c r="H196" s="5">
        <f t="shared" si="16"/>
        <v>-3.4803772104564312</v>
      </c>
      <c r="I196" s="7">
        <f t="shared" ref="I196:I259" si="21">ROUND(H196,6)</f>
        <v>-3.4803769999999998</v>
      </c>
    </row>
    <row r="197" spans="1:9" x14ac:dyDescent="0.3">
      <c r="A197">
        <v>289.78899999999999</v>
      </c>
      <c r="B197" s="3">
        <f>A197/$A$202</f>
        <v>0.97499831774443158</v>
      </c>
      <c r="C197">
        <v>0.97570299999999999</v>
      </c>
      <c r="D197" s="4">
        <f t="shared" si="18"/>
        <v>97.570300000000003</v>
      </c>
      <c r="E197" s="4">
        <f t="shared" si="19"/>
        <v>0.18499831819710075</v>
      </c>
      <c r="F197" s="4">
        <f t="shared" si="20"/>
        <v>155.35726702505335</v>
      </c>
      <c r="G197" s="6">
        <f t="shared" si="17"/>
        <v>-4.8526340261007333E-3</v>
      </c>
      <c r="H197" s="5">
        <f t="shared" ref="H197:H260" si="22">G197*A197*0.01*A197</f>
        <v>-4.0751287228707698</v>
      </c>
      <c r="I197" s="7">
        <f t="shared" si="21"/>
        <v>-4.0751289999999996</v>
      </c>
    </row>
    <row r="198" spans="1:9" x14ac:dyDescent="0.3">
      <c r="A198">
        <v>291.27600000000001</v>
      </c>
      <c r="B198" s="3">
        <f>A198/$A$202</f>
        <v>0.98000134580445453</v>
      </c>
      <c r="C198">
        <v>0.97840899999999997</v>
      </c>
      <c r="D198" s="4">
        <f t="shared" si="18"/>
        <v>97.840899999999991</v>
      </c>
      <c r="E198" s="4">
        <f t="shared" si="19"/>
        <v>0.17669021190716419</v>
      </c>
      <c r="F198" s="4">
        <f t="shared" si="20"/>
        <v>149.90699396183226</v>
      </c>
      <c r="G198" s="6">
        <f t="shared" ref="G198:G261" si="23">(E199-E197)/(A199-A197)</f>
        <v>-6.2716763208226708E-3</v>
      </c>
      <c r="H198" s="5">
        <f t="shared" si="22"/>
        <v>-5.3209973218556641</v>
      </c>
      <c r="I198" s="7">
        <f t="shared" si="21"/>
        <v>-5.3209970000000002</v>
      </c>
    </row>
    <row r="199" spans="1:9" x14ac:dyDescent="0.3">
      <c r="A199">
        <v>292.762</v>
      </c>
      <c r="B199" s="3">
        <f>A199/$A$202</f>
        <v>0.9850010093533409</v>
      </c>
      <c r="C199">
        <v>0.98095600000000005</v>
      </c>
      <c r="D199" s="4">
        <f t="shared" si="18"/>
        <v>98.095600000000005</v>
      </c>
      <c r="E199" s="4">
        <f t="shared" si="19"/>
        <v>0.16635262449529487</v>
      </c>
      <c r="F199" s="4">
        <f t="shared" si="20"/>
        <v>142.58015015341522</v>
      </c>
      <c r="G199" s="6">
        <f t="shared" si="23"/>
        <v>-6.8068357369658319E-3</v>
      </c>
      <c r="H199" s="5">
        <f t="shared" si="22"/>
        <v>-5.834110909826201</v>
      </c>
      <c r="I199" s="7">
        <f t="shared" si="21"/>
        <v>-5.834111</v>
      </c>
    </row>
    <row r="200" spans="1:9" x14ac:dyDescent="0.3">
      <c r="A200">
        <v>294.24799999999999</v>
      </c>
      <c r="B200" s="3">
        <f>A200/$A$202</f>
        <v>0.99000067290222715</v>
      </c>
      <c r="C200">
        <v>0.98335300000000003</v>
      </c>
      <c r="D200" s="4">
        <f t="shared" si="18"/>
        <v>98.335300000000004</v>
      </c>
      <c r="E200" s="4">
        <f t="shared" si="19"/>
        <v>0.15646029609690187</v>
      </c>
      <c r="F200" s="4">
        <f t="shared" si="20"/>
        <v>135.46627442583895</v>
      </c>
      <c r="G200" s="6">
        <f t="shared" si="23"/>
        <v>-6.4871958829765567E-3</v>
      </c>
      <c r="H200" s="5">
        <f t="shared" si="22"/>
        <v>-5.6167365118189636</v>
      </c>
      <c r="I200" s="7">
        <f t="shared" si="21"/>
        <v>-5.6167369999999996</v>
      </c>
    </row>
    <row r="201" spans="1:9" x14ac:dyDescent="0.3">
      <c r="A201">
        <v>295.73399999999998</v>
      </c>
      <c r="B201" s="3">
        <f>A201/$A$202</f>
        <v>0.99500033645111352</v>
      </c>
      <c r="C201">
        <v>0.98560599999999998</v>
      </c>
      <c r="D201" s="4">
        <f t="shared" si="18"/>
        <v>98.560599999999994</v>
      </c>
      <c r="E201" s="4">
        <f t="shared" si="19"/>
        <v>0.14707267833108867</v>
      </c>
      <c r="F201" s="4">
        <f t="shared" si="20"/>
        <v>128.62770362128938</v>
      </c>
      <c r="G201" s="6">
        <f t="shared" si="23"/>
        <v>-6.1588735782489691E-3</v>
      </c>
      <c r="H201" s="5">
        <f t="shared" si="22"/>
        <v>-5.3864645306900645</v>
      </c>
      <c r="I201" s="7">
        <f t="shared" si="21"/>
        <v>-5.3864650000000003</v>
      </c>
    </row>
    <row r="202" spans="1:9" x14ac:dyDescent="0.3">
      <c r="A202" s="2">
        <v>297.22000000000003</v>
      </c>
      <c r="B202" s="3">
        <f>A202/$A$202</f>
        <v>1</v>
      </c>
      <c r="C202">
        <v>0.98772400000000005</v>
      </c>
      <c r="D202" s="4">
        <f t="shared" si="18"/>
        <v>98.772400000000005</v>
      </c>
      <c r="E202" s="4">
        <f t="shared" si="19"/>
        <v>0.13815612382234571</v>
      </c>
      <c r="F202" s="4">
        <f t="shared" si="20"/>
        <v>122.04674455262793</v>
      </c>
      <c r="G202" s="6">
        <f t="shared" si="23"/>
        <v>-5.8418727323116945E-3</v>
      </c>
      <c r="H202" s="5">
        <f t="shared" si="22"/>
        <v>-5.160694505197811</v>
      </c>
      <c r="I202" s="7">
        <f t="shared" si="21"/>
        <v>-5.1606949999999996</v>
      </c>
    </row>
    <row r="203" spans="1:9" x14ac:dyDescent="0.3">
      <c r="A203">
        <v>298.70600000000002</v>
      </c>
      <c r="B203" s="3">
        <f>A203/$A$202</f>
        <v>1.0049996635488863</v>
      </c>
      <c r="C203">
        <v>0.98971200000000004</v>
      </c>
      <c r="D203" s="4">
        <f t="shared" si="18"/>
        <v>98.97120000000001</v>
      </c>
      <c r="E203" s="4">
        <f t="shared" si="19"/>
        <v>0.1297106325706581</v>
      </c>
      <c r="F203" s="4">
        <f t="shared" si="20"/>
        <v>115.73466788384131</v>
      </c>
      <c r="G203" s="6">
        <f t="shared" si="23"/>
        <v>-5.5361933451587341E-3</v>
      </c>
      <c r="H203" s="5">
        <f t="shared" si="22"/>
        <v>-4.9396837055254492</v>
      </c>
      <c r="I203" s="7">
        <f t="shared" si="21"/>
        <v>-4.9396839999999997</v>
      </c>
    </row>
    <row r="204" spans="1:9" x14ac:dyDescent="0.3">
      <c r="A204">
        <v>300.19200000000001</v>
      </c>
      <c r="B204" s="3">
        <f>A204/$A$202</f>
        <v>1.0099993270977725</v>
      </c>
      <c r="C204">
        <v>0.99157899999999999</v>
      </c>
      <c r="D204" s="4">
        <f t="shared" si="18"/>
        <v>99.157899999999998</v>
      </c>
      <c r="E204" s="4">
        <f t="shared" si="19"/>
        <v>0.12170255720053406</v>
      </c>
      <c r="F204" s="4">
        <f t="shared" si="20"/>
        <v>109.67254769080637</v>
      </c>
      <c r="G204" s="6">
        <f t="shared" si="23"/>
        <v>-5.2531568755662932E-3</v>
      </c>
      <c r="H204" s="5">
        <f t="shared" si="22"/>
        <v>-4.7338947612540681</v>
      </c>
      <c r="I204" s="7">
        <f t="shared" si="21"/>
        <v>-4.7338950000000004</v>
      </c>
    </row>
    <row r="205" spans="1:9" x14ac:dyDescent="0.3">
      <c r="A205">
        <v>301.678</v>
      </c>
      <c r="B205" s="3">
        <f>A205/$A$202</f>
        <v>1.014998990646659</v>
      </c>
      <c r="C205">
        <v>0.99332900000000002</v>
      </c>
      <c r="D205" s="4">
        <f t="shared" si="18"/>
        <v>99.332899999999995</v>
      </c>
      <c r="E205" s="4">
        <f t="shared" si="19"/>
        <v>0.11409825033647518</v>
      </c>
      <c r="F205" s="4">
        <f t="shared" si="20"/>
        <v>103.84037913339431</v>
      </c>
      <c r="G205" s="6">
        <f t="shared" si="23"/>
        <v>-4.9587989471938697E-3</v>
      </c>
      <c r="H205" s="5">
        <f t="shared" si="22"/>
        <v>-4.5129838643833784</v>
      </c>
      <c r="I205" s="7">
        <f t="shared" si="21"/>
        <v>-4.5129840000000003</v>
      </c>
    </row>
    <row r="206" spans="1:9" x14ac:dyDescent="0.3">
      <c r="A206">
        <v>303.16399999999999</v>
      </c>
      <c r="B206" s="3">
        <f>A206/$A$202</f>
        <v>1.0199986541955453</v>
      </c>
      <c r="C206">
        <v>0.99497000000000002</v>
      </c>
      <c r="D206" s="4">
        <f t="shared" si="18"/>
        <v>99.497</v>
      </c>
      <c r="E206" s="4">
        <f t="shared" si="19"/>
        <v>0.10696500672947398</v>
      </c>
      <c r="F206" s="4">
        <f t="shared" si="20"/>
        <v>98.309837899858977</v>
      </c>
      <c r="G206" s="6">
        <f t="shared" si="23"/>
        <v>-4.6871029768530406E-3</v>
      </c>
      <c r="H206" s="5">
        <f t="shared" si="22"/>
        <v>-4.3078418630847395</v>
      </c>
      <c r="I206" s="7">
        <f t="shared" si="21"/>
        <v>-4.3078419999999999</v>
      </c>
    </row>
    <row r="207" spans="1:9" x14ac:dyDescent="0.3">
      <c r="A207">
        <v>304.64999999999998</v>
      </c>
      <c r="B207" s="3">
        <f>A207/$A$202</f>
        <v>1.0249983177444315</v>
      </c>
      <c r="C207">
        <v>0.99650799999999995</v>
      </c>
      <c r="D207" s="4">
        <f t="shared" si="18"/>
        <v>99.65079999999999</v>
      </c>
      <c r="E207" s="4">
        <f t="shared" si="19"/>
        <v>0.10016818028926804</v>
      </c>
      <c r="F207" s="4">
        <f t="shared" si="20"/>
        <v>92.967713355194846</v>
      </c>
      <c r="G207" s="6">
        <f t="shared" si="23"/>
        <v>-4.650777844497243E-3</v>
      </c>
      <c r="H207" s="5">
        <f t="shared" si="22"/>
        <v>-4.3164623763484178</v>
      </c>
      <c r="I207" s="7">
        <f t="shared" si="21"/>
        <v>-4.3164619999999996</v>
      </c>
    </row>
    <row r="208" spans="1:9" x14ac:dyDescent="0.3">
      <c r="A208">
        <v>306.137</v>
      </c>
      <c r="B208" s="3">
        <f>A208/$A$202</f>
        <v>1.0300013458044546</v>
      </c>
      <c r="C208">
        <v>0.99794799999999995</v>
      </c>
      <c r="D208" s="4">
        <f t="shared" si="18"/>
        <v>99.794799999999995</v>
      </c>
      <c r="E208" s="4">
        <f t="shared" si="19"/>
        <v>9.3138244197783618E-2</v>
      </c>
      <c r="F208" s="4">
        <f t="shared" si="20"/>
        <v>87.289034647618919</v>
      </c>
      <c r="G208" s="6">
        <f t="shared" si="23"/>
        <v>-4.8099825096687377E-3</v>
      </c>
      <c r="H208" s="5">
        <f t="shared" si="22"/>
        <v>-4.507909007274443</v>
      </c>
      <c r="I208" s="7">
        <f t="shared" si="21"/>
        <v>-4.5079089999999997</v>
      </c>
    </row>
    <row r="209" spans="1:9" x14ac:dyDescent="0.3">
      <c r="A209">
        <v>307.62299999999999</v>
      </c>
      <c r="B209" s="3">
        <f>A209/$A$202</f>
        <v>1.0350010093533408</v>
      </c>
      <c r="C209">
        <v>0.99927699999999997</v>
      </c>
      <c r="D209" s="4">
        <f t="shared" si="18"/>
        <v>99.927700000000002</v>
      </c>
      <c r="E209" s="4">
        <f t="shared" si="19"/>
        <v>8.5868102288022816E-2</v>
      </c>
      <c r="F209" s="4">
        <f t="shared" si="20"/>
        <v>81.25862538667954</v>
      </c>
      <c r="G209" s="6">
        <f t="shared" si="23"/>
        <v>-4.6991822460303503E-3</v>
      </c>
      <c r="H209" s="5">
        <f t="shared" si="22"/>
        <v>-4.4469259198613651</v>
      </c>
      <c r="I209" s="7">
        <f t="shared" si="21"/>
        <v>-4.4469260000000004</v>
      </c>
    </row>
    <row r="210" spans="1:9" x14ac:dyDescent="0.3">
      <c r="A210">
        <v>309.10899999999998</v>
      </c>
      <c r="B210" s="3">
        <f>A210/$A$202</f>
        <v>1.0400006729022271</v>
      </c>
      <c r="C210">
        <v>1.0004999999999999</v>
      </c>
      <c r="D210" s="4">
        <f t="shared" si="18"/>
        <v>100.05</v>
      </c>
      <c r="E210" s="4">
        <f t="shared" si="19"/>
        <v>7.917227456258151E-2</v>
      </c>
      <c r="F210" s="4">
        <f t="shared" si="20"/>
        <v>75.647820909147228</v>
      </c>
      <c r="G210" s="6">
        <f t="shared" si="23"/>
        <v>-4.4380118431513555E-3</v>
      </c>
      <c r="H210" s="5">
        <f t="shared" si="22"/>
        <v>-4.2404481487773165</v>
      </c>
      <c r="I210" s="7">
        <f t="shared" si="21"/>
        <v>-4.2404479999999998</v>
      </c>
    </row>
    <row r="211" spans="1:9" x14ac:dyDescent="0.3">
      <c r="A211">
        <v>310.59500000000003</v>
      </c>
      <c r="B211" s="3">
        <f>A211/$A$202</f>
        <v>1.0450003364511136</v>
      </c>
      <c r="C211">
        <v>1.00163</v>
      </c>
      <c r="D211" s="4">
        <f t="shared" si="18"/>
        <v>100.163</v>
      </c>
      <c r="E211" s="4">
        <f t="shared" si="19"/>
        <v>7.2678331090176823E-2</v>
      </c>
      <c r="F211" s="4">
        <f t="shared" si="20"/>
        <v>70.112243840513244</v>
      </c>
      <c r="G211" s="6">
        <f t="shared" si="23"/>
        <v>-4.2229041262638331E-3</v>
      </c>
      <c r="H211" s="5">
        <f t="shared" si="22"/>
        <v>-4.0738041087976642</v>
      </c>
      <c r="I211" s="7">
        <f t="shared" si="21"/>
        <v>-4.073804</v>
      </c>
    </row>
    <row r="212" spans="1:9" x14ac:dyDescent="0.3">
      <c r="A212">
        <v>312.08100000000002</v>
      </c>
      <c r="B212" s="3">
        <f>A212/$A$202</f>
        <v>1.05</v>
      </c>
      <c r="C212">
        <v>1.0026600000000001</v>
      </c>
      <c r="D212" s="4">
        <f t="shared" si="18"/>
        <v>100.26600000000001</v>
      </c>
      <c r="E212" s="4">
        <f t="shared" si="19"/>
        <v>6.6621803499325241E-2</v>
      </c>
      <c r="F212" s="4">
        <f t="shared" si="20"/>
        <v>64.886006093800404</v>
      </c>
      <c r="G212" s="6">
        <f t="shared" si="23"/>
        <v>-3.9625105742433133E-3</v>
      </c>
      <c r="H212" s="5">
        <f t="shared" si="22"/>
        <v>-3.859269364716376</v>
      </c>
      <c r="I212" s="7">
        <f t="shared" si="21"/>
        <v>-3.8592689999999998</v>
      </c>
    </row>
    <row r="213" spans="1:9" x14ac:dyDescent="0.3">
      <c r="A213">
        <v>313.56700000000001</v>
      </c>
      <c r="B213" s="3">
        <f>A213/$A$202</f>
        <v>1.0549996635488863</v>
      </c>
      <c r="C213">
        <v>1.0036099999999999</v>
      </c>
      <c r="D213" s="4">
        <f t="shared" si="18"/>
        <v>100.36099999999999</v>
      </c>
      <c r="E213" s="4">
        <f t="shared" si="19"/>
        <v>6.0901749663525774E-2</v>
      </c>
      <c r="F213" s="4">
        <f t="shared" si="20"/>
        <v>59.881196808576256</v>
      </c>
      <c r="G213" s="6">
        <f t="shared" si="23"/>
        <v>-3.8492959864061278E-3</v>
      </c>
      <c r="H213" s="5">
        <f t="shared" si="22"/>
        <v>-3.7847919281454634</v>
      </c>
      <c r="I213" s="7">
        <f t="shared" si="21"/>
        <v>-3.7847919999999999</v>
      </c>
    </row>
    <row r="214" spans="1:9" x14ac:dyDescent="0.3">
      <c r="A214">
        <v>315.053</v>
      </c>
      <c r="B214" s="3">
        <f>A214/$A$202</f>
        <v>1.0599993270977726</v>
      </c>
      <c r="C214">
        <v>1.00447</v>
      </c>
      <c r="D214" s="4">
        <f t="shared" si="18"/>
        <v>100.447</v>
      </c>
      <c r="E214" s="4">
        <f t="shared" si="19"/>
        <v>5.5181695827726307E-2</v>
      </c>
      <c r="F214" s="4">
        <f t="shared" si="20"/>
        <v>54.772464403352139</v>
      </c>
      <c r="G214" s="6">
        <f t="shared" si="23"/>
        <v>-3.5096522228996101E-3</v>
      </c>
      <c r="H214" s="5">
        <f t="shared" si="22"/>
        <v>-3.4836243896354953</v>
      </c>
      <c r="I214" s="7">
        <f t="shared" si="21"/>
        <v>-3.4836239999999998</v>
      </c>
    </row>
    <row r="215" spans="1:9" x14ac:dyDescent="0.3">
      <c r="A215">
        <v>316.53899999999999</v>
      </c>
      <c r="B215" s="3">
        <f>A215/$A$202</f>
        <v>1.0649989906466588</v>
      </c>
      <c r="C215">
        <v>1.00525</v>
      </c>
      <c r="D215" s="4">
        <f t="shared" si="18"/>
        <v>100.52499999999999</v>
      </c>
      <c r="E215" s="4">
        <f t="shared" si="19"/>
        <v>5.0471063257068204E-2</v>
      </c>
      <c r="F215" s="4">
        <f t="shared" si="20"/>
        <v>50.570460222579641</v>
      </c>
      <c r="G215" s="6">
        <f t="shared" si="23"/>
        <v>-3.175187465093108E-3</v>
      </c>
      <c r="H215" s="5">
        <f t="shared" si="22"/>
        <v>-3.18144063232584</v>
      </c>
      <c r="I215" s="7">
        <f t="shared" si="21"/>
        <v>-3.181441</v>
      </c>
    </row>
    <row r="216" spans="1:9" x14ac:dyDescent="0.3">
      <c r="A216">
        <v>318.02499999999998</v>
      </c>
      <c r="B216" s="3">
        <f>A216/$A$202</f>
        <v>1.0699986541955453</v>
      </c>
      <c r="C216">
        <v>1.00597</v>
      </c>
      <c r="D216" s="4">
        <f t="shared" si="18"/>
        <v>100.59700000000001</v>
      </c>
      <c r="E216" s="4">
        <f t="shared" si="19"/>
        <v>4.5745038681469653E-2</v>
      </c>
      <c r="F216" s="4">
        <f t="shared" si="20"/>
        <v>46.26648666330621</v>
      </c>
      <c r="G216" s="6">
        <f t="shared" si="23"/>
        <v>-2.9473096259974929E-3</v>
      </c>
      <c r="H216" s="5">
        <f t="shared" si="22"/>
        <v>-2.9809060268449232</v>
      </c>
      <c r="I216" s="7">
        <f t="shared" si="21"/>
        <v>-2.9809060000000001</v>
      </c>
    </row>
    <row r="217" spans="1:9" x14ac:dyDescent="0.3">
      <c r="A217">
        <v>319.512</v>
      </c>
      <c r="B217" s="3">
        <f>A217/$A$202</f>
        <v>1.0750016822555681</v>
      </c>
      <c r="C217">
        <v>1.00661</v>
      </c>
      <c r="D217" s="4">
        <f t="shared" si="18"/>
        <v>100.661</v>
      </c>
      <c r="E217" s="4">
        <f t="shared" si="19"/>
        <v>4.1708711738977618E-2</v>
      </c>
      <c r="F217" s="4">
        <f t="shared" si="20"/>
        <v>42.579555499004393</v>
      </c>
      <c r="G217" s="6">
        <f t="shared" si="23"/>
        <v>-2.3715293814510108E-3</v>
      </c>
      <c r="H217" s="5">
        <f t="shared" si="22"/>
        <v>-2.4210449736966178</v>
      </c>
      <c r="I217" s="7">
        <f t="shared" si="21"/>
        <v>-2.4210449999999999</v>
      </c>
    </row>
    <row r="218" spans="1:9" x14ac:dyDescent="0.3">
      <c r="A218">
        <v>320.99799999999999</v>
      </c>
      <c r="B218" s="3">
        <f>A218/$A$202</f>
        <v>1.0800013458044544</v>
      </c>
      <c r="C218">
        <v>1.0072099999999999</v>
      </c>
      <c r="D218" s="4">
        <f t="shared" si="18"/>
        <v>100.72099999999999</v>
      </c>
      <c r="E218" s="4">
        <f t="shared" si="19"/>
        <v>3.8694481830415767E-2</v>
      </c>
      <c r="F218" s="4">
        <f t="shared" si="20"/>
        <v>39.870684187279785</v>
      </c>
      <c r="G218" s="6">
        <f t="shared" si="23"/>
        <v>-2.033140546427282E-3</v>
      </c>
      <c r="H218" s="5">
        <f t="shared" si="22"/>
        <v>-2.094942245000845</v>
      </c>
      <c r="I218" s="7">
        <f t="shared" si="21"/>
        <v>-2.0949420000000001</v>
      </c>
    </row>
    <row r="219" spans="1:9" x14ac:dyDescent="0.3">
      <c r="A219">
        <v>322.48399999999998</v>
      </c>
      <c r="B219" s="3">
        <f>A219/$A$202</f>
        <v>1.0850010093533409</v>
      </c>
      <c r="C219">
        <v>1.00776</v>
      </c>
      <c r="D219" s="4">
        <f t="shared" si="18"/>
        <v>100.776</v>
      </c>
      <c r="E219" s="4">
        <f t="shared" si="19"/>
        <v>3.5666218034995777E-2</v>
      </c>
      <c r="F219" s="4">
        <f t="shared" si="20"/>
        <v>37.091415232627099</v>
      </c>
      <c r="G219" s="6">
        <f t="shared" si="23"/>
        <v>-1.9246479932032395E-3</v>
      </c>
      <c r="H219" s="5">
        <f t="shared" si="22"/>
        <v>-2.0015555846851445</v>
      </c>
      <c r="I219" s="7">
        <f t="shared" si="21"/>
        <v>-2.0015559999999999</v>
      </c>
    </row>
    <row r="220" spans="1:9" x14ac:dyDescent="0.3">
      <c r="A220">
        <v>323.97000000000003</v>
      </c>
      <c r="B220" s="3">
        <f>A220/$A$202</f>
        <v>1.0900006729022274</v>
      </c>
      <c r="C220">
        <v>1.00827</v>
      </c>
      <c r="D220" s="4">
        <f t="shared" si="18"/>
        <v>100.827</v>
      </c>
      <c r="E220" s="4">
        <f t="shared" si="19"/>
        <v>3.2974427994615668E-2</v>
      </c>
      <c r="F220" s="4">
        <f t="shared" si="20"/>
        <v>34.608825599595448</v>
      </c>
      <c r="G220" s="6">
        <f t="shared" si="23"/>
        <v>-1.8114334053699766E-3</v>
      </c>
      <c r="H220" s="5">
        <f t="shared" si="22"/>
        <v>-1.9012182052700837</v>
      </c>
      <c r="I220" s="7">
        <f t="shared" si="21"/>
        <v>-1.9012180000000001</v>
      </c>
    </row>
    <row r="221" spans="1:9" x14ac:dyDescent="0.3">
      <c r="A221">
        <v>325.45600000000002</v>
      </c>
      <c r="B221" s="3">
        <f>A221/$A$202</f>
        <v>1.0950003364511136</v>
      </c>
      <c r="C221">
        <v>1.00874</v>
      </c>
      <c r="D221" s="4">
        <f t="shared" si="18"/>
        <v>100.874</v>
      </c>
      <c r="E221" s="4">
        <f t="shared" si="19"/>
        <v>3.0282637954236139E-2</v>
      </c>
      <c r="F221" s="4">
        <f t="shared" si="20"/>
        <v>32.075857046564344</v>
      </c>
      <c r="G221" s="6">
        <f t="shared" si="23"/>
        <v>-1.6982188175307684E-3</v>
      </c>
      <c r="H221" s="5">
        <f t="shared" si="22"/>
        <v>-1.7987806778003159</v>
      </c>
      <c r="I221" s="7">
        <f t="shared" si="21"/>
        <v>-1.798781</v>
      </c>
    </row>
    <row r="222" spans="1:9" x14ac:dyDescent="0.3">
      <c r="A222">
        <v>326.94200000000001</v>
      </c>
      <c r="B222" s="3">
        <f>A222/$A$202</f>
        <v>1.0999999999999999</v>
      </c>
      <c r="C222">
        <v>1.0091699999999999</v>
      </c>
      <c r="D222" s="4">
        <f t="shared" si="18"/>
        <v>100.91699999999999</v>
      </c>
      <c r="E222" s="4">
        <f t="shared" si="19"/>
        <v>2.7927321668914259E-2</v>
      </c>
      <c r="F222" s="4">
        <f t="shared" si="20"/>
        <v>29.851813335172981</v>
      </c>
      <c r="G222" s="6">
        <f t="shared" si="23"/>
        <v>-1.5850042296949374E-3</v>
      </c>
      <c r="H222" s="5">
        <f t="shared" si="22"/>
        <v>-1.6942280022856342</v>
      </c>
      <c r="I222" s="7">
        <f t="shared" si="21"/>
        <v>-1.6942280000000001</v>
      </c>
    </row>
    <row r="223" spans="1:9" x14ac:dyDescent="0.3">
      <c r="A223">
        <v>328.428</v>
      </c>
      <c r="B223" s="3">
        <f>A223/$A$202</f>
        <v>1.1049996635488863</v>
      </c>
      <c r="C223">
        <v>1.0095700000000001</v>
      </c>
      <c r="D223" s="4">
        <f t="shared" si="18"/>
        <v>100.95700000000001</v>
      </c>
      <c r="E223" s="4">
        <f t="shared" si="19"/>
        <v>2.5572005383582817E-2</v>
      </c>
      <c r="F223" s="4">
        <f t="shared" si="20"/>
        <v>27.583231123771458</v>
      </c>
      <c r="G223" s="6">
        <f t="shared" si="23"/>
        <v>-1.5850042296997645E-3</v>
      </c>
      <c r="H223" s="5">
        <f t="shared" si="22"/>
        <v>-1.7096640386299859</v>
      </c>
      <c r="I223" s="7">
        <f t="shared" si="21"/>
        <v>-1.7096640000000001</v>
      </c>
    </row>
    <row r="224" spans="1:9" x14ac:dyDescent="0.3">
      <c r="A224">
        <v>329.91399999999999</v>
      </c>
      <c r="B224" s="3">
        <f>A224/$A$202</f>
        <v>1.1099993270977726</v>
      </c>
      <c r="C224">
        <v>1.00993</v>
      </c>
      <c r="D224" s="4">
        <f t="shared" si="18"/>
        <v>100.99299999999999</v>
      </c>
      <c r="E224" s="4">
        <f t="shared" si="19"/>
        <v>2.321668909824659E-2</v>
      </c>
      <c r="F224" s="4">
        <f t="shared" si="20"/>
        <v>25.269798352364695</v>
      </c>
      <c r="G224" s="6">
        <f t="shared" si="23"/>
        <v>-1.3585750540262096E-3</v>
      </c>
      <c r="H224" s="5">
        <f t="shared" si="22"/>
        <v>-1.4787172071140879</v>
      </c>
      <c r="I224" s="7">
        <f t="shared" si="21"/>
        <v>-1.4787170000000001</v>
      </c>
    </row>
    <row r="225" spans="1:9" x14ac:dyDescent="0.3">
      <c r="A225">
        <v>331.4</v>
      </c>
      <c r="B225" s="3">
        <f>A225/$A$202</f>
        <v>1.1149989906466589</v>
      </c>
      <c r="C225">
        <v>1.0102599999999999</v>
      </c>
      <c r="D225" s="4">
        <f t="shared" si="18"/>
        <v>101.026</v>
      </c>
      <c r="E225" s="4">
        <f t="shared" si="19"/>
        <v>2.1534320323016949E-2</v>
      </c>
      <c r="F225" s="4">
        <f t="shared" si="20"/>
        <v>23.650274024228462</v>
      </c>
      <c r="G225" s="6">
        <f t="shared" si="23"/>
        <v>-1.2475691597957552E-3</v>
      </c>
      <c r="H225" s="5">
        <f t="shared" si="22"/>
        <v>-1.3701548064096221</v>
      </c>
      <c r="I225" s="7">
        <f t="shared" si="21"/>
        <v>-1.370155</v>
      </c>
    </row>
    <row r="226" spans="1:9" x14ac:dyDescent="0.3">
      <c r="A226">
        <v>332.88600000000002</v>
      </c>
      <c r="B226" s="3">
        <f>A226/$A$202</f>
        <v>1.1199986541955453</v>
      </c>
      <c r="C226">
        <v>1.01057</v>
      </c>
      <c r="D226" s="4">
        <f t="shared" si="18"/>
        <v>101.057</v>
      </c>
      <c r="E226" s="4">
        <f t="shared" si="19"/>
        <v>1.950891355533356E-2</v>
      </c>
      <c r="F226" s="4">
        <f t="shared" si="20"/>
        <v>21.618429740224492</v>
      </c>
      <c r="G226" s="6">
        <f t="shared" si="23"/>
        <v>-1.2469591861360471E-3</v>
      </c>
      <c r="H226" s="5">
        <f t="shared" si="22"/>
        <v>-1.3817939926767355</v>
      </c>
      <c r="I226" s="7">
        <f t="shared" si="21"/>
        <v>-1.381794</v>
      </c>
    </row>
    <row r="227" spans="1:9" x14ac:dyDescent="0.3">
      <c r="A227">
        <v>334.37299999999999</v>
      </c>
      <c r="B227" s="3">
        <f>A227/$A$202</f>
        <v>1.1250016822555682</v>
      </c>
      <c r="C227">
        <v>1.01084</v>
      </c>
      <c r="D227" s="4">
        <f t="shared" si="18"/>
        <v>101.084</v>
      </c>
      <c r="E227" s="4">
        <f t="shared" si="19"/>
        <v>1.7827110662634465E-2</v>
      </c>
      <c r="F227" s="4">
        <f t="shared" si="20"/>
        <v>19.931655115500746</v>
      </c>
      <c r="G227" s="6">
        <f t="shared" si="23"/>
        <v>-9.0320410460283497E-4</v>
      </c>
      <c r="H227" s="5">
        <f t="shared" si="22"/>
        <v>-1.0098300870247701</v>
      </c>
      <c r="I227" s="7">
        <f t="shared" si="21"/>
        <v>-1.00983</v>
      </c>
    </row>
    <row r="228" spans="1:9" x14ac:dyDescent="0.3">
      <c r="A228">
        <v>335.85899999999998</v>
      </c>
      <c r="B228" s="3">
        <f>A228/$A$202</f>
        <v>1.1300013458044544</v>
      </c>
      <c r="C228">
        <v>1.0111000000000001</v>
      </c>
      <c r="D228" s="4">
        <f t="shared" si="18"/>
        <v>101.11000000000001</v>
      </c>
      <c r="E228" s="4">
        <f t="shared" si="19"/>
        <v>1.6823687752349371E-2</v>
      </c>
      <c r="F228" s="4">
        <f t="shared" si="20"/>
        <v>18.977333088990601</v>
      </c>
      <c r="G228" s="6">
        <f t="shared" si="23"/>
        <v>-7.9048382586485136E-4</v>
      </c>
      <c r="H228" s="5">
        <f t="shared" si="22"/>
        <v>-0.89167577796978859</v>
      </c>
      <c r="I228" s="7">
        <f t="shared" si="21"/>
        <v>-0.89167600000000002</v>
      </c>
    </row>
    <row r="229" spans="1:9" x14ac:dyDescent="0.3">
      <c r="A229">
        <v>337.34500000000003</v>
      </c>
      <c r="B229" s="3">
        <f>A229/$A$202</f>
        <v>1.1350010093533409</v>
      </c>
      <c r="C229">
        <v>1.0113399999999999</v>
      </c>
      <c r="D229" s="4">
        <f t="shared" si="18"/>
        <v>101.13399999999999</v>
      </c>
      <c r="E229" s="4">
        <f t="shared" si="19"/>
        <v>1.5477792732164097E-2</v>
      </c>
      <c r="F229" s="4">
        <f t="shared" si="20"/>
        <v>17.61398336187435</v>
      </c>
      <c r="G229" s="6">
        <f t="shared" si="23"/>
        <v>-9.0571670268016827E-4</v>
      </c>
      <c r="H229" s="5">
        <f t="shared" si="22"/>
        <v>-1.0307205431448883</v>
      </c>
      <c r="I229" s="7">
        <f t="shared" si="21"/>
        <v>-1.030721</v>
      </c>
    </row>
    <row r="230" spans="1:9" x14ac:dyDescent="0.3">
      <c r="A230">
        <v>338.83100000000002</v>
      </c>
      <c r="B230" s="3">
        <f>A230/$A$202</f>
        <v>1.1400006729022272</v>
      </c>
      <c r="C230">
        <v>1.01156</v>
      </c>
      <c r="D230" s="4">
        <f t="shared" si="18"/>
        <v>101.15600000000001</v>
      </c>
      <c r="E230" s="4">
        <f t="shared" si="19"/>
        <v>1.4131897711983877E-2</v>
      </c>
      <c r="F230" s="4">
        <f t="shared" si="20"/>
        <v>16.224329594763955</v>
      </c>
      <c r="G230" s="6">
        <f t="shared" si="23"/>
        <v>-9.0571670268341101E-4</v>
      </c>
      <c r="H230" s="5">
        <f t="shared" si="22"/>
        <v>-1.0398211622602818</v>
      </c>
      <c r="I230" s="7">
        <f t="shared" si="21"/>
        <v>-1.0398210000000001</v>
      </c>
    </row>
    <row r="231" spans="1:9" x14ac:dyDescent="0.3">
      <c r="A231">
        <v>340.31700000000001</v>
      </c>
      <c r="B231" s="3">
        <f>A231/$A$202</f>
        <v>1.1450003364511137</v>
      </c>
      <c r="C231">
        <v>1.01176</v>
      </c>
      <c r="D231" s="4">
        <f t="shared" si="18"/>
        <v>101.176</v>
      </c>
      <c r="E231" s="4">
        <f t="shared" si="19"/>
        <v>1.2786002691789018E-2</v>
      </c>
      <c r="F231" s="4">
        <f t="shared" si="20"/>
        <v>14.808193467636771</v>
      </c>
      <c r="G231" s="6">
        <f t="shared" si="23"/>
        <v>-7.9250211484907735E-4</v>
      </c>
      <c r="H231" s="5">
        <f t="shared" si="22"/>
        <v>-0.91784155870175221</v>
      </c>
      <c r="I231" s="7">
        <f t="shared" si="21"/>
        <v>-0.91784200000000005</v>
      </c>
    </row>
    <row r="232" spans="1:9" x14ac:dyDescent="0.3">
      <c r="A232">
        <v>341.803</v>
      </c>
      <c r="B232" s="3">
        <f>A232/$A$202</f>
        <v>1.1499999999999999</v>
      </c>
      <c r="C232">
        <v>1.0119400000000001</v>
      </c>
      <c r="D232" s="4">
        <f t="shared" si="18"/>
        <v>101.194</v>
      </c>
      <c r="E232" s="4">
        <f t="shared" si="19"/>
        <v>1.1776581426652435E-2</v>
      </c>
      <c r="F232" s="4">
        <f t="shared" si="20"/>
        <v>13.758496562302456</v>
      </c>
      <c r="G232" s="6">
        <f t="shared" si="23"/>
        <v>-5.6607293917699381E-4</v>
      </c>
      <c r="H232" s="5">
        <f t="shared" si="22"/>
        <v>-0.66133900030214376</v>
      </c>
      <c r="I232" s="7">
        <f t="shared" si="21"/>
        <v>-0.66133900000000001</v>
      </c>
    </row>
    <row r="233" spans="1:9" x14ac:dyDescent="0.3">
      <c r="A233">
        <v>343.28899999999999</v>
      </c>
      <c r="B233" s="3">
        <f>A233/$A$202</f>
        <v>1.1549996635488862</v>
      </c>
      <c r="C233">
        <v>1.0121100000000001</v>
      </c>
      <c r="D233" s="4">
        <f t="shared" si="18"/>
        <v>101.21100000000001</v>
      </c>
      <c r="E233" s="4">
        <f t="shared" si="19"/>
        <v>1.1103633916555004E-2</v>
      </c>
      <c r="F233" s="4">
        <f t="shared" si="20"/>
        <v>13.085336938738807</v>
      </c>
      <c r="G233" s="6">
        <f t="shared" si="23"/>
        <v>-4.5285835134423609E-4</v>
      </c>
      <c r="H233" s="5">
        <f t="shared" si="22"/>
        <v>-0.53368150980067786</v>
      </c>
      <c r="I233" s="7">
        <f t="shared" si="21"/>
        <v>-0.53368199999999999</v>
      </c>
    </row>
    <row r="234" spans="1:9" x14ac:dyDescent="0.3">
      <c r="A234">
        <v>344.77499999999998</v>
      </c>
      <c r="B234" s="3">
        <f>A234/$A$202</f>
        <v>1.1599993270977724</v>
      </c>
      <c r="C234">
        <v>1.01227</v>
      </c>
      <c r="D234" s="4">
        <f t="shared" si="18"/>
        <v>101.227</v>
      </c>
      <c r="E234" s="4">
        <f t="shared" si="19"/>
        <v>1.0430686406457374E-2</v>
      </c>
      <c r="F234" s="4">
        <f t="shared" si="20"/>
        <v>12.398936135174855</v>
      </c>
      <c r="G234" s="6">
        <f t="shared" si="23"/>
        <v>-5.6607293917704303E-4</v>
      </c>
      <c r="H234" s="5">
        <f t="shared" si="22"/>
        <v>-0.67288977419182849</v>
      </c>
      <c r="I234" s="7">
        <f t="shared" si="21"/>
        <v>-0.67288999999999999</v>
      </c>
    </row>
    <row r="235" spans="1:9" x14ac:dyDescent="0.3">
      <c r="A235">
        <v>346.26100000000002</v>
      </c>
      <c r="B235" s="3">
        <f>A235/$A$202</f>
        <v>1.1649989906466589</v>
      </c>
      <c r="C235">
        <v>1.0124200000000001</v>
      </c>
      <c r="D235" s="4">
        <f t="shared" si="18"/>
        <v>101.242</v>
      </c>
      <c r="E235" s="4">
        <f t="shared" si="19"/>
        <v>9.4212651413208108E-3</v>
      </c>
      <c r="F235" s="4">
        <f t="shared" si="20"/>
        <v>11.295784129840692</v>
      </c>
      <c r="G235" s="6">
        <f t="shared" si="23"/>
        <v>-6.8023955011952135E-4</v>
      </c>
      <c r="H235" s="5">
        <f t="shared" si="22"/>
        <v>-0.81558463746333199</v>
      </c>
      <c r="I235" s="7">
        <f t="shared" si="21"/>
        <v>-0.815585</v>
      </c>
    </row>
    <row r="236" spans="1:9" x14ac:dyDescent="0.3">
      <c r="A236">
        <v>347.74700000000001</v>
      </c>
      <c r="B236" s="3">
        <f>A236/$A$202</f>
        <v>1.1699986541955454</v>
      </c>
      <c r="C236">
        <v>1.0125500000000001</v>
      </c>
      <c r="D236" s="4">
        <f t="shared" si="18"/>
        <v>101.25500000000001</v>
      </c>
      <c r="E236" s="4">
        <f t="shared" si="19"/>
        <v>8.4090144635021319E-3</v>
      </c>
      <c r="F236" s="4">
        <f t="shared" si="20"/>
        <v>10.1688509930172</v>
      </c>
      <c r="G236" s="6">
        <f t="shared" si="23"/>
        <v>-5.6675810121011873E-4</v>
      </c>
      <c r="H236" s="5">
        <f t="shared" si="22"/>
        <v>-0.68536910066043644</v>
      </c>
      <c r="I236" s="7">
        <f t="shared" si="21"/>
        <v>-0.68536900000000001</v>
      </c>
    </row>
    <row r="237" spans="1:9" x14ac:dyDescent="0.3">
      <c r="A237">
        <v>349.23399999999998</v>
      </c>
      <c r="B237" s="3">
        <f>A237/$A$202</f>
        <v>1.175001682255568</v>
      </c>
      <c r="C237">
        <v>1.01267</v>
      </c>
      <c r="D237" s="4">
        <f t="shared" si="18"/>
        <v>101.267</v>
      </c>
      <c r="E237" s="4">
        <f t="shared" si="19"/>
        <v>7.7362933064231525E-3</v>
      </c>
      <c r="F237" s="4">
        <f t="shared" si="20"/>
        <v>9.4355226888244736</v>
      </c>
      <c r="G237" s="6">
        <f t="shared" si="23"/>
        <v>-4.5175432476041475E-4</v>
      </c>
      <c r="H237" s="5">
        <f t="shared" si="22"/>
        <v>-0.55097939183774847</v>
      </c>
      <c r="I237" s="7">
        <f t="shared" si="21"/>
        <v>-0.550979</v>
      </c>
    </row>
    <row r="238" spans="1:9" x14ac:dyDescent="0.3">
      <c r="A238">
        <v>350.72</v>
      </c>
      <c r="B238" s="3">
        <f>A238/$A$202</f>
        <v>1.1800013458044547</v>
      </c>
      <c r="C238">
        <v>1.01278</v>
      </c>
      <c r="D238" s="4">
        <f t="shared" si="18"/>
        <v>101.27800000000001</v>
      </c>
      <c r="E238" s="4">
        <f t="shared" si="19"/>
        <v>7.0659488559894129E-3</v>
      </c>
      <c r="F238" s="4">
        <f t="shared" si="20"/>
        <v>8.6914363607000897</v>
      </c>
      <c r="G238" s="6">
        <f t="shared" si="23"/>
        <v>-3.387679022484208E-4</v>
      </c>
      <c r="H238" s="5">
        <f t="shared" si="22"/>
        <v>-0.41669982665445288</v>
      </c>
      <c r="I238" s="7">
        <f t="shared" si="21"/>
        <v>-0.41670000000000001</v>
      </c>
    </row>
    <row r="239" spans="1:9" x14ac:dyDescent="0.3">
      <c r="A239">
        <v>352.20600000000002</v>
      </c>
      <c r="B239" s="3">
        <f>A239/$A$202</f>
        <v>1.185001009353341</v>
      </c>
      <c r="C239">
        <v>1.01288</v>
      </c>
      <c r="D239" s="4">
        <f t="shared" si="18"/>
        <v>101.288</v>
      </c>
      <c r="E239" s="4">
        <f t="shared" si="19"/>
        <v>6.7294751009408333E-3</v>
      </c>
      <c r="F239" s="4">
        <f t="shared" si="20"/>
        <v>8.3478510387601723</v>
      </c>
      <c r="G239" s="6">
        <f t="shared" si="23"/>
        <v>-3.3964376350486349E-4</v>
      </c>
      <c r="H239" s="5">
        <f t="shared" si="22"/>
        <v>-0.42132491783587894</v>
      </c>
      <c r="I239" s="7">
        <f t="shared" si="21"/>
        <v>-0.42132500000000001</v>
      </c>
    </row>
    <row r="240" spans="1:9" x14ac:dyDescent="0.3">
      <c r="A240">
        <v>353.69200000000001</v>
      </c>
      <c r="B240" s="3">
        <f>A240/$A$202</f>
        <v>1.1900006729022272</v>
      </c>
      <c r="C240">
        <v>1.01298</v>
      </c>
      <c r="D240" s="4">
        <f t="shared" si="18"/>
        <v>101.298</v>
      </c>
      <c r="E240" s="4">
        <f t="shared" si="19"/>
        <v>6.0565275908529654E-3</v>
      </c>
      <c r="F240" s="4">
        <f t="shared" si="20"/>
        <v>7.5765967548919182</v>
      </c>
      <c r="G240" s="6">
        <f t="shared" si="23"/>
        <v>-4.5285835134256002E-4</v>
      </c>
      <c r="H240" s="5">
        <f t="shared" si="22"/>
        <v>-0.56651688013271728</v>
      </c>
      <c r="I240" s="7">
        <f t="shared" si="21"/>
        <v>-0.56651700000000005</v>
      </c>
    </row>
    <row r="241" spans="1:9" x14ac:dyDescent="0.3">
      <c r="A241">
        <v>355.178</v>
      </c>
      <c r="B241" s="3">
        <f>A241/$A$202</f>
        <v>1.1950003364511135</v>
      </c>
      <c r="C241">
        <v>1.0130600000000001</v>
      </c>
      <c r="D241" s="4">
        <f t="shared" si="18"/>
        <v>101.30600000000001</v>
      </c>
      <c r="E241" s="4">
        <f t="shared" si="19"/>
        <v>5.383580080750754E-3</v>
      </c>
      <c r="F241" s="4">
        <f t="shared" si="20"/>
        <v>6.7914622710057033</v>
      </c>
      <c r="G241" s="6">
        <f t="shared" si="23"/>
        <v>-2.2642917567369315E-4</v>
      </c>
      <c r="H241" s="5">
        <f t="shared" si="22"/>
        <v>-0.28564360157680824</v>
      </c>
      <c r="I241" s="7">
        <f t="shared" si="21"/>
        <v>-0.28564400000000001</v>
      </c>
    </row>
    <row r="242" spans="1:9" x14ac:dyDescent="0.3">
      <c r="A242">
        <v>356.66399999999999</v>
      </c>
      <c r="B242" s="3">
        <f>A242/$A$202</f>
        <v>1.2</v>
      </c>
      <c r="C242">
        <v>1.0131399999999999</v>
      </c>
      <c r="D242" s="4">
        <f t="shared" si="18"/>
        <v>101.31399999999999</v>
      </c>
      <c r="E242" s="4">
        <f t="shared" si="19"/>
        <v>5.383580080750754E-3</v>
      </c>
      <c r="F242" s="4">
        <f t="shared" si="20"/>
        <v>6.8484096310056719</v>
      </c>
      <c r="G242" s="6">
        <f t="shared" si="23"/>
        <v>-2.2642917566889696E-4</v>
      </c>
      <c r="H242" s="5">
        <f t="shared" si="22"/>
        <v>-0.28803876307813792</v>
      </c>
      <c r="I242" s="7">
        <f t="shared" si="21"/>
        <v>-0.28803899999999999</v>
      </c>
    </row>
    <row r="243" spans="1:9" x14ac:dyDescent="0.3">
      <c r="A243">
        <v>358.15</v>
      </c>
      <c r="B243" s="3">
        <f>A243/$A$202</f>
        <v>1.2049996635488862</v>
      </c>
      <c r="C243">
        <v>1.01322</v>
      </c>
      <c r="D243" s="4">
        <f t="shared" si="18"/>
        <v>101.322</v>
      </c>
      <c r="E243" s="4">
        <f t="shared" si="19"/>
        <v>4.7106325706627967E-3</v>
      </c>
      <c r="F243" s="4">
        <f t="shared" si="20"/>
        <v>6.0423954071374864</v>
      </c>
      <c r="G243" s="6">
        <f t="shared" si="23"/>
        <v>-4.5285835134257737E-4</v>
      </c>
      <c r="H243" s="5">
        <f t="shared" si="22"/>
        <v>-0.58088784917717173</v>
      </c>
      <c r="I243" s="7">
        <f t="shared" si="21"/>
        <v>-0.58088799999999996</v>
      </c>
    </row>
    <row r="244" spans="1:9" x14ac:dyDescent="0.3">
      <c r="A244">
        <v>359.63600000000002</v>
      </c>
      <c r="B244" s="3">
        <f>A244/$A$202</f>
        <v>1.2099993270977727</v>
      </c>
      <c r="C244">
        <v>1.01328</v>
      </c>
      <c r="D244" s="4">
        <f t="shared" si="18"/>
        <v>101.328</v>
      </c>
      <c r="E244" s="4">
        <f t="shared" si="19"/>
        <v>4.0376850605605974E-3</v>
      </c>
      <c r="F244" s="4">
        <f t="shared" si="20"/>
        <v>5.2222632232510149</v>
      </c>
      <c r="G244" s="6">
        <f t="shared" si="23"/>
        <v>-2.2642917567204979E-4</v>
      </c>
      <c r="H244" s="5">
        <f t="shared" si="22"/>
        <v>-0.29285908609697586</v>
      </c>
      <c r="I244" s="7">
        <f t="shared" si="21"/>
        <v>-0.29285899999999998</v>
      </c>
    </row>
    <row r="245" spans="1:9" x14ac:dyDescent="0.3">
      <c r="A245">
        <v>361.12200000000001</v>
      </c>
      <c r="B245" s="3">
        <f>A245/$A$202</f>
        <v>1.2149989906466589</v>
      </c>
      <c r="C245">
        <v>1.0133399999999999</v>
      </c>
      <c r="D245" s="4">
        <f t="shared" si="18"/>
        <v>101.33399999999999</v>
      </c>
      <c r="E245" s="4">
        <f t="shared" si="19"/>
        <v>4.0376850605654564E-3</v>
      </c>
      <c r="F245" s="4">
        <f t="shared" si="20"/>
        <v>5.2655087032573018</v>
      </c>
      <c r="G245" s="6">
        <f t="shared" si="23"/>
        <v>-1.136334779997117E-4</v>
      </c>
      <c r="H245" s="5">
        <f t="shared" si="22"/>
        <v>-0.14818839468997241</v>
      </c>
      <c r="I245" s="7">
        <f t="shared" si="21"/>
        <v>-0.14818799999999999</v>
      </c>
    </row>
    <row r="246" spans="1:9" x14ac:dyDescent="0.3">
      <c r="A246">
        <v>362.608</v>
      </c>
      <c r="B246" s="3">
        <f>A246/$A$202</f>
        <v>1.2199986541955452</v>
      </c>
      <c r="C246">
        <v>1.0134000000000001</v>
      </c>
      <c r="D246" s="4">
        <f t="shared" si="18"/>
        <v>101.34</v>
      </c>
      <c r="E246" s="4">
        <f t="shared" si="19"/>
        <v>3.6999663639454565E-3</v>
      </c>
      <c r="F246" s="4">
        <f t="shared" si="20"/>
        <v>4.8648845553491222</v>
      </c>
      <c r="G246" s="6">
        <f t="shared" si="23"/>
        <v>-3.3987213377181124E-4</v>
      </c>
      <c r="H246" s="5">
        <f t="shared" si="22"/>
        <v>-0.44687938530794974</v>
      </c>
      <c r="I246" s="7">
        <f t="shared" si="21"/>
        <v>-0.44687900000000003</v>
      </c>
    </row>
    <row r="247" spans="1:9" x14ac:dyDescent="0.3">
      <c r="A247">
        <v>364.09500000000003</v>
      </c>
      <c r="B247" s="3">
        <f>A247/$A$202</f>
        <v>1.2250016822555683</v>
      </c>
      <c r="C247">
        <v>1.01345</v>
      </c>
      <c r="D247" s="4">
        <f t="shared" si="18"/>
        <v>101.345</v>
      </c>
      <c r="E247" s="4">
        <f t="shared" si="19"/>
        <v>3.0272452068618571E-3</v>
      </c>
      <c r="F247" s="4">
        <f t="shared" si="20"/>
        <v>4.0130727252776319</v>
      </c>
      <c r="G247" s="6">
        <f t="shared" si="23"/>
        <v>-2.2593426455317186E-4</v>
      </c>
      <c r="H247" s="5">
        <f t="shared" si="22"/>
        <v>-0.29951013969030293</v>
      </c>
      <c r="I247" s="7">
        <f t="shared" si="21"/>
        <v>-0.29951</v>
      </c>
    </row>
    <row r="248" spans="1:9" x14ac:dyDescent="0.3">
      <c r="A248">
        <v>365.58100000000002</v>
      </c>
      <c r="B248" s="3">
        <f>A248/$A$202</f>
        <v>1.2300013458044545</v>
      </c>
      <c r="C248">
        <v>1.01349</v>
      </c>
      <c r="D248" s="4">
        <f t="shared" si="18"/>
        <v>101.349</v>
      </c>
      <c r="E248" s="4">
        <f t="shared" si="19"/>
        <v>3.0282637954288736E-3</v>
      </c>
      <c r="F248" s="4">
        <f t="shared" si="20"/>
        <v>4.0472584389332207</v>
      </c>
      <c r="G248" s="6">
        <f t="shared" si="23"/>
        <v>3.4272831677436544E-7</v>
      </c>
      <c r="H248" s="5">
        <f t="shared" si="22"/>
        <v>4.5805457054971696E-4</v>
      </c>
      <c r="I248" s="7">
        <f t="shared" si="21"/>
        <v>4.5800000000000002E-4</v>
      </c>
    </row>
    <row r="249" spans="1:9" x14ac:dyDescent="0.3">
      <c r="A249">
        <v>367.06700000000001</v>
      </c>
      <c r="B249" s="3">
        <f>A249/$A$202</f>
        <v>1.2350010093533408</v>
      </c>
      <c r="C249">
        <v>1.0135400000000001</v>
      </c>
      <c r="D249" s="4">
        <f t="shared" si="18"/>
        <v>101.35400000000001</v>
      </c>
      <c r="E249" s="4">
        <f t="shared" si="19"/>
        <v>3.0282637954193105E-3</v>
      </c>
      <c r="F249" s="4">
        <f t="shared" si="20"/>
        <v>4.0802275989203887</v>
      </c>
      <c r="G249" s="6">
        <f t="shared" si="23"/>
        <v>-2.2642917567530221E-4</v>
      </c>
      <c r="H249" s="5">
        <f t="shared" si="22"/>
        <v>-0.30508655592972711</v>
      </c>
      <c r="I249" s="7">
        <f t="shared" si="21"/>
        <v>-0.305087</v>
      </c>
    </row>
    <row r="250" spans="1:9" x14ac:dyDescent="0.3">
      <c r="A250">
        <v>368.553</v>
      </c>
      <c r="B250" s="3">
        <f>A250/$A$202</f>
        <v>1.2400006729022273</v>
      </c>
      <c r="C250">
        <v>1.0135799999999999</v>
      </c>
      <c r="D250" s="4">
        <f t="shared" si="18"/>
        <v>101.35799999999999</v>
      </c>
      <c r="E250" s="4">
        <f t="shared" si="19"/>
        <v>2.3553162853218799E-3</v>
      </c>
      <c r="F250" s="4">
        <f t="shared" si="20"/>
        <v>3.1992570547100447</v>
      </c>
      <c r="G250" s="6">
        <f t="shared" si="23"/>
        <v>-2.264291756688666E-4</v>
      </c>
      <c r="H250" s="5">
        <f t="shared" si="22"/>
        <v>-0.30756172415791005</v>
      </c>
      <c r="I250" s="7">
        <f t="shared" si="21"/>
        <v>-0.307562</v>
      </c>
    </row>
    <row r="251" spans="1:9" x14ac:dyDescent="0.3">
      <c r="A251">
        <v>370.03899999999999</v>
      </c>
      <c r="B251" s="3">
        <f>A251/$A$202</f>
        <v>1.2450003364511135</v>
      </c>
      <c r="C251">
        <v>1.0136099999999999</v>
      </c>
      <c r="D251" s="4">
        <f t="shared" si="18"/>
        <v>101.36099999999999</v>
      </c>
      <c r="E251" s="4">
        <f t="shared" si="19"/>
        <v>2.3553162853314435E-3</v>
      </c>
      <c r="F251" s="4">
        <f t="shared" si="20"/>
        <v>3.2251077747230537</v>
      </c>
      <c r="G251" s="6">
        <f t="shared" si="23"/>
        <v>3.2027011146314954E-15</v>
      </c>
      <c r="H251" s="5">
        <f t="shared" si="22"/>
        <v>4.3854221741852838E-12</v>
      </c>
      <c r="I251" s="7">
        <f t="shared" si="21"/>
        <v>0</v>
      </c>
    </row>
    <row r="252" spans="1:9" x14ac:dyDescent="0.3">
      <c r="A252">
        <v>371.52499999999998</v>
      </c>
      <c r="B252" s="3">
        <f>A252/$A$202</f>
        <v>1.2499999999999998</v>
      </c>
      <c r="C252">
        <v>1.0136499999999999</v>
      </c>
      <c r="D252" s="4">
        <f t="shared" si="18"/>
        <v>101.36499999999999</v>
      </c>
      <c r="E252" s="4">
        <f t="shared" si="19"/>
        <v>2.3553162853313984E-3</v>
      </c>
      <c r="F252" s="4">
        <f t="shared" si="20"/>
        <v>3.2510625147230092</v>
      </c>
      <c r="G252" s="6">
        <f t="shared" si="23"/>
        <v>-1.1321458783444428E-4</v>
      </c>
      <c r="H252" s="5">
        <f t="shared" si="22"/>
        <v>-0.15627103031582423</v>
      </c>
      <c r="I252" s="7">
        <f t="shared" si="21"/>
        <v>-0.15627099999999999</v>
      </c>
    </row>
    <row r="253" spans="1:9" x14ac:dyDescent="0.3">
      <c r="A253">
        <v>373.01100000000002</v>
      </c>
      <c r="B253" s="3">
        <f>A253/$A$202</f>
        <v>1.2549996635488863</v>
      </c>
      <c r="C253">
        <v>1.0136799999999999</v>
      </c>
      <c r="D253" s="4">
        <f t="shared" si="18"/>
        <v>101.36799999999999</v>
      </c>
      <c r="E253" s="4">
        <f t="shared" si="19"/>
        <v>2.0188425302874709E-3</v>
      </c>
      <c r="F253" s="4">
        <f t="shared" si="20"/>
        <v>2.8089610926244908</v>
      </c>
      <c r="G253" s="6">
        <f t="shared" si="23"/>
        <v>-2.2642917567045612E-4</v>
      </c>
      <c r="H253" s="5">
        <f t="shared" si="22"/>
        <v>-0.31504722887068376</v>
      </c>
      <c r="I253" s="7">
        <f t="shared" si="21"/>
        <v>-0.31504700000000002</v>
      </c>
    </row>
    <row r="254" spans="1:9" x14ac:dyDescent="0.3">
      <c r="A254">
        <v>374.49700000000001</v>
      </c>
      <c r="B254" s="3">
        <f>A254/$A$202</f>
        <v>1.2599993270977725</v>
      </c>
      <c r="C254">
        <v>1.0137100000000001</v>
      </c>
      <c r="D254" s="4">
        <f t="shared" si="18"/>
        <v>101.37100000000001</v>
      </c>
      <c r="E254" s="4">
        <f t="shared" si="19"/>
        <v>1.6823687752387944E-3</v>
      </c>
      <c r="F254" s="4">
        <f t="shared" si="20"/>
        <v>2.3594886105193815</v>
      </c>
      <c r="G254" s="6">
        <f t="shared" si="23"/>
        <v>-1.1321458783763805E-4</v>
      </c>
      <c r="H254" s="5">
        <f t="shared" si="22"/>
        <v>-0.15878119855715758</v>
      </c>
      <c r="I254" s="7">
        <f t="shared" si="21"/>
        <v>-0.15878100000000001</v>
      </c>
    </row>
    <row r="255" spans="1:9" x14ac:dyDescent="0.3">
      <c r="A255">
        <v>375.983</v>
      </c>
      <c r="B255" s="3">
        <f>A255/$A$202</f>
        <v>1.264998990646659</v>
      </c>
      <c r="C255">
        <v>1.01373</v>
      </c>
      <c r="D255" s="4">
        <f t="shared" si="18"/>
        <v>101.373</v>
      </c>
      <c r="E255" s="4">
        <f t="shared" si="19"/>
        <v>1.6823687752340129E-3</v>
      </c>
      <c r="F255" s="4">
        <f t="shared" si="20"/>
        <v>2.3782506105126582</v>
      </c>
      <c r="G255" s="6">
        <f t="shared" si="23"/>
        <v>-1.9040462454104301E-7</v>
      </c>
      <c r="H255" s="5">
        <f t="shared" si="22"/>
        <v>-2.6916210121421299E-4</v>
      </c>
      <c r="I255" s="7">
        <f t="shared" si="21"/>
        <v>-2.6899999999999998E-4</v>
      </c>
    </row>
    <row r="256" spans="1:9" x14ac:dyDescent="0.3">
      <c r="A256">
        <v>377.46899999999999</v>
      </c>
      <c r="B256" s="3">
        <f>A256/$A$202</f>
        <v>1.2699986541955453</v>
      </c>
      <c r="C256">
        <v>1.01376</v>
      </c>
      <c r="D256" s="4">
        <f t="shared" si="18"/>
        <v>101.376</v>
      </c>
      <c r="E256" s="4">
        <f t="shared" si="19"/>
        <v>1.6818028926946585E-3</v>
      </c>
      <c r="F256" s="4">
        <f t="shared" si="20"/>
        <v>2.3962806249657724</v>
      </c>
      <c r="G256" s="6">
        <f t="shared" si="23"/>
        <v>-1.1332877937154148E-4</v>
      </c>
      <c r="H256" s="5">
        <f t="shared" si="22"/>
        <v>-0.161474070141435</v>
      </c>
      <c r="I256" s="7">
        <f t="shared" si="21"/>
        <v>-0.16147400000000001</v>
      </c>
    </row>
    <row r="257" spans="1:9" x14ac:dyDescent="0.3">
      <c r="A257">
        <v>378.95600000000002</v>
      </c>
      <c r="B257" s="3">
        <f>A257/$A$202</f>
        <v>1.2750016822555683</v>
      </c>
      <c r="C257">
        <v>1.0137799999999999</v>
      </c>
      <c r="D257" s="4">
        <f t="shared" si="18"/>
        <v>101.37799999999999</v>
      </c>
      <c r="E257" s="4">
        <f t="shared" si="19"/>
        <v>1.3454423141624186E-3</v>
      </c>
      <c r="F257" s="4">
        <f t="shared" si="20"/>
        <v>1.9321580886131835</v>
      </c>
      <c r="G257" s="6">
        <f t="shared" si="23"/>
        <v>-1.1298616633184589E-4</v>
      </c>
      <c r="H257" s="5">
        <f t="shared" si="22"/>
        <v>-0.16225677822194395</v>
      </c>
      <c r="I257" s="7">
        <f t="shared" si="21"/>
        <v>-0.16225700000000001</v>
      </c>
    </row>
    <row r="258" spans="1:9" x14ac:dyDescent="0.3">
      <c r="A258">
        <v>380.44200000000001</v>
      </c>
      <c r="B258" s="3">
        <f>A258/$A$202</f>
        <v>1.2800013458044546</v>
      </c>
      <c r="C258">
        <v>1.0138</v>
      </c>
      <c r="D258" s="4">
        <f t="shared" si="18"/>
        <v>101.38000000000001</v>
      </c>
      <c r="E258" s="4">
        <f t="shared" si="19"/>
        <v>1.3458950201900792E-3</v>
      </c>
      <c r="F258" s="4">
        <f t="shared" si="20"/>
        <v>1.9479961691006442</v>
      </c>
      <c r="G258" s="6">
        <f t="shared" si="23"/>
        <v>-1.1306226414059162E-4</v>
      </c>
      <c r="H258" s="5">
        <f t="shared" si="22"/>
        <v>-0.16364192905967709</v>
      </c>
      <c r="I258" s="7">
        <f t="shared" si="21"/>
        <v>-0.16364200000000001</v>
      </c>
    </row>
    <row r="259" spans="1:9" x14ac:dyDescent="0.3">
      <c r="A259">
        <v>381.928</v>
      </c>
      <c r="B259" s="3">
        <f>A259/$A$202</f>
        <v>1.2850010093533408</v>
      </c>
      <c r="C259">
        <v>1.0138199999999999</v>
      </c>
      <c r="D259" s="4">
        <f t="shared" ref="D259:D322" si="24">C259*100</f>
        <v>101.38199999999999</v>
      </c>
      <c r="E259" s="4">
        <f t="shared" si="19"/>
        <v>1.0094212651365825E-3</v>
      </c>
      <c r="F259" s="4">
        <f t="shared" si="20"/>
        <v>1.4724326768167788</v>
      </c>
      <c r="G259" s="6">
        <f t="shared" si="23"/>
        <v>-1.1321458783604218E-4</v>
      </c>
      <c r="H259" s="5">
        <f t="shared" si="22"/>
        <v>-0.16514498394243357</v>
      </c>
      <c r="I259" s="7">
        <f t="shared" si="21"/>
        <v>-0.16514499999999999</v>
      </c>
    </row>
    <row r="260" spans="1:9" x14ac:dyDescent="0.3">
      <c r="A260">
        <v>383.41399999999999</v>
      </c>
      <c r="B260" s="3">
        <f>A260/$A$202</f>
        <v>1.2900006729022271</v>
      </c>
      <c r="C260">
        <v>1.01383</v>
      </c>
      <c r="D260" s="4">
        <f t="shared" si="24"/>
        <v>101.383</v>
      </c>
      <c r="E260" s="4">
        <f t="shared" ref="E260:E323" si="25">(D261-D259)/(A261-A259)</f>
        <v>1.0094212651413641E-3</v>
      </c>
      <c r="F260" s="4">
        <f t="shared" ref="F260:F323" si="26">E260*0.01*A260*A260</f>
        <v>1.4839128068237539</v>
      </c>
      <c r="G260" s="6">
        <f t="shared" si="23"/>
        <v>1.1321458783764243E-4</v>
      </c>
      <c r="H260" s="5">
        <f t="shared" si="22"/>
        <v>0.16643257142796852</v>
      </c>
      <c r="I260" s="7">
        <f t="shared" ref="I260:I323" si="27">ROUND(H260,6)</f>
        <v>0.166433</v>
      </c>
    </row>
    <row r="261" spans="1:9" x14ac:dyDescent="0.3">
      <c r="A261">
        <v>384.9</v>
      </c>
      <c r="B261" s="3">
        <f>A261/$A$202</f>
        <v>1.2950003364511136</v>
      </c>
      <c r="C261">
        <v>1.0138499999999999</v>
      </c>
      <c r="D261" s="4">
        <f t="shared" si="24"/>
        <v>101.38499999999999</v>
      </c>
      <c r="E261" s="4">
        <f t="shared" si="25"/>
        <v>1.3458950201900536E-3</v>
      </c>
      <c r="F261" s="4">
        <f t="shared" si="26"/>
        <v>1.9939166891006626</v>
      </c>
      <c r="G261" s="6">
        <f t="shared" si="23"/>
        <v>-6.4935392564743408E-18</v>
      </c>
      <c r="H261" s="5">
        <f t="shared" ref="H261:H324" si="28">G261*A261*0.01*A261</f>
        <v>-9.6200491870355317E-15</v>
      </c>
      <c r="I261" s="7">
        <f t="shared" si="27"/>
        <v>0</v>
      </c>
    </row>
    <row r="262" spans="1:9" x14ac:dyDescent="0.3">
      <c r="A262">
        <v>386.38600000000002</v>
      </c>
      <c r="B262" s="3">
        <f>A262/$A$202</f>
        <v>1.3</v>
      </c>
      <c r="C262">
        <v>1.01387</v>
      </c>
      <c r="D262" s="4">
        <f t="shared" si="24"/>
        <v>101.387</v>
      </c>
      <c r="E262" s="4">
        <f t="shared" si="25"/>
        <v>1.0094212651413448E-3</v>
      </c>
      <c r="F262" s="4">
        <f t="shared" si="26"/>
        <v>1.5070068068237263</v>
      </c>
      <c r="G262" s="6">
        <f t="shared" ref="G262:G325" si="29">(E263-E261)/(A263-A261)</f>
        <v>-2.2642917567207148E-4</v>
      </c>
      <c r="H262" s="5">
        <f t="shared" si="28"/>
        <v>-0.33804549278394297</v>
      </c>
      <c r="I262" s="7">
        <f t="shared" si="27"/>
        <v>-0.33804499999999998</v>
      </c>
    </row>
    <row r="263" spans="1:9" x14ac:dyDescent="0.3">
      <c r="A263">
        <v>387.87200000000001</v>
      </c>
      <c r="B263" s="3">
        <f>A263/$A$202</f>
        <v>1.3049996635488863</v>
      </c>
      <c r="C263">
        <v>1.0138799999999999</v>
      </c>
      <c r="D263" s="4">
        <f t="shared" si="24"/>
        <v>101.38799999999999</v>
      </c>
      <c r="E263" s="4">
        <f t="shared" si="25"/>
        <v>6.729475100926488E-4</v>
      </c>
      <c r="F263" s="4">
        <f t="shared" si="26"/>
        <v>1.0124137845467727</v>
      </c>
      <c r="G263" s="6">
        <f t="shared" si="29"/>
        <v>1.6153590914420747E-15</v>
      </c>
      <c r="H263" s="5">
        <f t="shared" si="28"/>
        <v>2.4302219514026431E-12</v>
      </c>
      <c r="I263" s="7">
        <f t="shared" si="27"/>
        <v>0</v>
      </c>
    </row>
    <row r="264" spans="1:9" x14ac:dyDescent="0.3">
      <c r="A264">
        <v>389.358</v>
      </c>
      <c r="B264" s="3">
        <f>A264/$A$202</f>
        <v>1.3099993270977726</v>
      </c>
      <c r="C264">
        <v>1.01389</v>
      </c>
      <c r="D264" s="4">
        <f t="shared" si="24"/>
        <v>101.389</v>
      </c>
      <c r="E264" s="4">
        <f t="shared" si="25"/>
        <v>1.0094212651461456E-3</v>
      </c>
      <c r="F264" s="4">
        <f t="shared" si="26"/>
        <v>1.5302791268310048</v>
      </c>
      <c r="G264" s="6">
        <f t="shared" si="29"/>
        <v>1.1321458783604224E-4</v>
      </c>
      <c r="H264" s="5">
        <f t="shared" si="28"/>
        <v>0.17163292135834629</v>
      </c>
      <c r="I264" s="7">
        <f t="shared" si="27"/>
        <v>0.17163300000000001</v>
      </c>
    </row>
    <row r="265" spans="1:9" x14ac:dyDescent="0.3">
      <c r="A265">
        <v>390.84399999999999</v>
      </c>
      <c r="B265" s="3">
        <f>A265/$A$202</f>
        <v>1.3149989906466588</v>
      </c>
      <c r="C265">
        <v>1.0139100000000001</v>
      </c>
      <c r="D265" s="4">
        <f t="shared" si="24"/>
        <v>101.39100000000001</v>
      </c>
      <c r="E265" s="4">
        <f t="shared" si="25"/>
        <v>1.0094212651413641E-3</v>
      </c>
      <c r="F265" s="4">
        <f t="shared" si="26"/>
        <v>1.5419821568237568</v>
      </c>
      <c r="G265" s="6">
        <f t="shared" si="29"/>
        <v>-1.1329074968618052E-4</v>
      </c>
      <c r="H265" s="5">
        <f t="shared" si="28"/>
        <v>-0.17306185294680931</v>
      </c>
      <c r="I265" s="7">
        <f t="shared" si="27"/>
        <v>-0.17306199999999999</v>
      </c>
    </row>
    <row r="266" spans="1:9" x14ac:dyDescent="0.3">
      <c r="A266">
        <v>392.33</v>
      </c>
      <c r="B266" s="3">
        <f>A266/$A$202</f>
        <v>1.3199986541955453</v>
      </c>
      <c r="C266">
        <v>1.0139199999999999</v>
      </c>
      <c r="D266" s="4">
        <f t="shared" si="24"/>
        <v>101.392</v>
      </c>
      <c r="E266" s="4">
        <f t="shared" si="25"/>
        <v>6.7272115707881939E-4</v>
      </c>
      <c r="F266" s="4">
        <f t="shared" si="26"/>
        <v>1.0354714355845311</v>
      </c>
      <c r="G266" s="6">
        <f t="shared" si="29"/>
        <v>-1.1325264314085547E-4</v>
      </c>
      <c r="H266" s="5">
        <f t="shared" si="28"/>
        <v>-0.17432167212642652</v>
      </c>
      <c r="I266" s="7">
        <f t="shared" si="27"/>
        <v>-0.174322</v>
      </c>
    </row>
    <row r="267" spans="1:9" x14ac:dyDescent="0.3">
      <c r="A267">
        <v>393.81700000000001</v>
      </c>
      <c r="B267" s="3">
        <f>A267/$A$202</f>
        <v>1.3250016822555681</v>
      </c>
      <c r="C267">
        <v>1.01393</v>
      </c>
      <c r="D267" s="4">
        <f t="shared" si="24"/>
        <v>101.393</v>
      </c>
      <c r="E267" s="4">
        <f t="shared" si="25"/>
        <v>6.7272115708359931E-4</v>
      </c>
      <c r="F267" s="4">
        <f t="shared" si="26"/>
        <v>1.0433355498805239</v>
      </c>
      <c r="G267" s="6">
        <f t="shared" si="29"/>
        <v>7.6136230685977429E-8</v>
      </c>
      <c r="H267" s="5">
        <f t="shared" si="28"/>
        <v>1.1808107307484783E-4</v>
      </c>
      <c r="I267" s="7">
        <f t="shared" si="27"/>
        <v>1.18E-4</v>
      </c>
    </row>
    <row r="268" spans="1:9" x14ac:dyDescent="0.3">
      <c r="A268">
        <v>395.303</v>
      </c>
      <c r="B268" s="3">
        <f>A268/$A$202</f>
        <v>1.3300013458044544</v>
      </c>
      <c r="C268">
        <v>1.0139400000000001</v>
      </c>
      <c r="D268" s="4">
        <f t="shared" si="24"/>
        <v>101.39400000000001</v>
      </c>
      <c r="E268" s="4">
        <f t="shared" si="25"/>
        <v>6.729475100926488E-4</v>
      </c>
      <c r="F268" s="4">
        <f t="shared" si="26"/>
        <v>1.0515778049033437</v>
      </c>
      <c r="G268" s="6">
        <f t="shared" si="29"/>
        <v>7.6161846921093976E-8</v>
      </c>
      <c r="H268" s="5">
        <f t="shared" si="28"/>
        <v>1.1901390019504194E-4</v>
      </c>
      <c r="I268" s="7">
        <f t="shared" si="27"/>
        <v>1.1900000000000001E-4</v>
      </c>
    </row>
    <row r="269" spans="1:9" x14ac:dyDescent="0.3">
      <c r="A269">
        <v>396.78899999999999</v>
      </c>
      <c r="B269" s="3">
        <f>A269/$A$202</f>
        <v>1.3350010093533409</v>
      </c>
      <c r="C269">
        <v>1.0139499999999999</v>
      </c>
      <c r="D269" s="4">
        <f t="shared" si="24"/>
        <v>101.395</v>
      </c>
      <c r="E269" s="4">
        <f t="shared" si="25"/>
        <v>6.729475100926488E-4</v>
      </c>
      <c r="F269" s="4">
        <f t="shared" si="26"/>
        <v>1.0594987249033252</v>
      </c>
      <c r="G269" s="6">
        <f t="shared" si="29"/>
        <v>-1.132145878344355E-4</v>
      </c>
      <c r="H269" s="5">
        <f t="shared" si="28"/>
        <v>-0.17824675721665956</v>
      </c>
      <c r="I269" s="7">
        <f t="shared" si="27"/>
        <v>-0.17824699999999999</v>
      </c>
    </row>
    <row r="270" spans="1:9" x14ac:dyDescent="0.3">
      <c r="A270">
        <v>398.27499999999998</v>
      </c>
      <c r="B270" s="3">
        <f>A270/$A$202</f>
        <v>1.3400006729022271</v>
      </c>
      <c r="C270">
        <v>1.01396</v>
      </c>
      <c r="D270" s="4">
        <f t="shared" si="24"/>
        <v>101.396</v>
      </c>
      <c r="E270" s="4">
        <f t="shared" si="25"/>
        <v>3.3647375504870878E-4</v>
      </c>
      <c r="F270" s="4">
        <f t="shared" si="26"/>
        <v>0.53372468245543547</v>
      </c>
      <c r="G270" s="6">
        <f t="shared" si="29"/>
        <v>-1.1321458783443333E-4</v>
      </c>
      <c r="H270" s="5">
        <f t="shared" si="28"/>
        <v>-0.17958434806455739</v>
      </c>
      <c r="I270" s="7">
        <f t="shared" si="27"/>
        <v>-0.17958399999999999</v>
      </c>
    </row>
    <row r="271" spans="1:9" x14ac:dyDescent="0.3">
      <c r="A271">
        <v>399.76100000000002</v>
      </c>
      <c r="B271" s="3">
        <f>A271/$A$202</f>
        <v>1.3450003364511136</v>
      </c>
      <c r="C271">
        <v>1.01396</v>
      </c>
      <c r="D271" s="4">
        <f t="shared" si="24"/>
        <v>101.396</v>
      </c>
      <c r="E271" s="4">
        <f t="shared" si="25"/>
        <v>3.3647375504870878E-4</v>
      </c>
      <c r="F271" s="4">
        <f t="shared" si="26"/>
        <v>0.53771486245545452</v>
      </c>
      <c r="G271" s="6">
        <f t="shared" si="29"/>
        <v>1.1321458783604219E-4</v>
      </c>
      <c r="H271" s="5">
        <f t="shared" si="28"/>
        <v>0.18092693891502973</v>
      </c>
      <c r="I271" s="7">
        <f t="shared" si="27"/>
        <v>0.180927</v>
      </c>
    </row>
    <row r="272" spans="1:9" x14ac:dyDescent="0.3">
      <c r="A272">
        <v>401.24700000000001</v>
      </c>
      <c r="B272" s="3">
        <f>A272/$A$202</f>
        <v>1.3499999999999999</v>
      </c>
      <c r="C272">
        <v>1.01397</v>
      </c>
      <c r="D272" s="4">
        <f t="shared" si="24"/>
        <v>101.39700000000001</v>
      </c>
      <c r="E272" s="4">
        <f t="shared" si="25"/>
        <v>6.7294751009743035E-4</v>
      </c>
      <c r="F272" s="4">
        <f t="shared" si="26"/>
        <v>1.0834398049109679</v>
      </c>
      <c r="G272" s="6">
        <f t="shared" si="29"/>
        <v>2.1523528996179406E-18</v>
      </c>
      <c r="H272" s="5">
        <f t="shared" si="28"/>
        <v>3.4652699811965947E-15</v>
      </c>
      <c r="I272" s="7">
        <f t="shared" si="27"/>
        <v>0</v>
      </c>
    </row>
    <row r="273" spans="1:9" x14ac:dyDescent="0.3">
      <c r="A273">
        <v>402.733</v>
      </c>
      <c r="B273" s="3">
        <f>A273/$A$202</f>
        <v>1.3549996635488863</v>
      </c>
      <c r="C273">
        <v>1.0139800000000001</v>
      </c>
      <c r="D273" s="4">
        <f t="shared" si="24"/>
        <v>101.39800000000001</v>
      </c>
      <c r="E273" s="4">
        <f t="shared" si="25"/>
        <v>3.3647375504871518E-4</v>
      </c>
      <c r="F273" s="4">
        <f t="shared" si="26"/>
        <v>0.54573980245550313</v>
      </c>
      <c r="G273" s="6">
        <f t="shared" si="29"/>
        <v>-1.1321458783765108E-4</v>
      </c>
      <c r="H273" s="5">
        <f t="shared" si="28"/>
        <v>-0.18362712061347988</v>
      </c>
      <c r="I273" s="7">
        <f t="shared" si="27"/>
        <v>-0.18362700000000001</v>
      </c>
    </row>
    <row r="274" spans="1:9" x14ac:dyDescent="0.3">
      <c r="A274">
        <v>404.21899999999999</v>
      </c>
      <c r="B274" s="3">
        <f>A274/$A$202</f>
        <v>1.3599993270977726</v>
      </c>
      <c r="C274">
        <v>1.0139800000000001</v>
      </c>
      <c r="D274" s="4">
        <f t="shared" si="24"/>
        <v>101.39800000000001</v>
      </c>
      <c r="E274" s="4">
        <f t="shared" si="25"/>
        <v>3.3647375504393363E-4</v>
      </c>
      <c r="F274" s="4">
        <f t="shared" si="26"/>
        <v>0.54977456244770972</v>
      </c>
      <c r="G274" s="6">
        <f t="shared" si="29"/>
        <v>1.1321458783443334E-4</v>
      </c>
      <c r="H274" s="5">
        <f t="shared" si="28"/>
        <v>0.18498471145616199</v>
      </c>
      <c r="I274" s="7">
        <f t="shared" si="27"/>
        <v>0.18498500000000001</v>
      </c>
    </row>
    <row r="275" spans="1:9" x14ac:dyDescent="0.3">
      <c r="A275">
        <v>405.70499999999998</v>
      </c>
      <c r="B275" s="3">
        <f>A275/$A$202</f>
        <v>1.3649989906466589</v>
      </c>
      <c r="C275">
        <v>1.0139899999999999</v>
      </c>
      <c r="D275" s="4">
        <f t="shared" si="24"/>
        <v>101.399</v>
      </c>
      <c r="E275" s="4">
        <f t="shared" si="25"/>
        <v>6.729475100926488E-4</v>
      </c>
      <c r="F275" s="4">
        <f t="shared" si="26"/>
        <v>1.1076483649032134</v>
      </c>
      <c r="G275" s="6">
        <f t="shared" si="29"/>
        <v>-3.8080922656114213E-8</v>
      </c>
      <c r="H275" s="5">
        <f t="shared" si="28"/>
        <v>-6.2679883767224903E-5</v>
      </c>
      <c r="I275" s="7">
        <f t="shared" si="27"/>
        <v>-6.3E-5</v>
      </c>
    </row>
    <row r="276" spans="1:9" x14ac:dyDescent="0.3">
      <c r="A276">
        <v>407.19099999999997</v>
      </c>
      <c r="B276" s="3">
        <f>A276/$A$202</f>
        <v>1.3699986541955451</v>
      </c>
      <c r="C276">
        <v>1.014</v>
      </c>
      <c r="D276" s="4">
        <f t="shared" si="24"/>
        <v>101.4</v>
      </c>
      <c r="E276" s="4">
        <f t="shared" si="25"/>
        <v>3.3636057854179966E-4</v>
      </c>
      <c r="F276" s="4">
        <f t="shared" si="26"/>
        <v>0.55770101070229039</v>
      </c>
      <c r="G276" s="6">
        <f t="shared" si="29"/>
        <v>-1.1321457502551215E-4</v>
      </c>
      <c r="H276" s="5">
        <f t="shared" si="28"/>
        <v>-0.18771487191419489</v>
      </c>
      <c r="I276" s="7">
        <f t="shared" si="27"/>
        <v>-0.18771499999999999</v>
      </c>
    </row>
    <row r="277" spans="1:9" x14ac:dyDescent="0.3">
      <c r="A277">
        <v>408.678</v>
      </c>
      <c r="B277" s="3">
        <f>A277/$A$202</f>
        <v>1.3750016822555682</v>
      </c>
      <c r="C277">
        <v>1.014</v>
      </c>
      <c r="D277" s="4">
        <f t="shared" si="24"/>
        <v>101.4</v>
      </c>
      <c r="E277" s="4">
        <f t="shared" si="25"/>
        <v>3.3636057854179966E-4</v>
      </c>
      <c r="F277" s="4">
        <f t="shared" si="26"/>
        <v>0.56178172783315428</v>
      </c>
      <c r="G277" s="6">
        <f t="shared" si="29"/>
        <v>3.8068115343262227E-8</v>
      </c>
      <c r="H277" s="5">
        <f t="shared" si="28"/>
        <v>6.3580493604817662E-5</v>
      </c>
      <c r="I277" s="7">
        <f t="shared" si="27"/>
        <v>6.3999999999999997E-5</v>
      </c>
    </row>
    <row r="278" spans="1:9" x14ac:dyDescent="0.3">
      <c r="A278">
        <v>410.16399999999999</v>
      </c>
      <c r="B278" s="3">
        <f>A278/$A$202</f>
        <v>1.3800013458044544</v>
      </c>
      <c r="C278">
        <v>1.0140100000000001</v>
      </c>
      <c r="D278" s="4">
        <f t="shared" si="24"/>
        <v>101.40100000000001</v>
      </c>
      <c r="E278" s="4">
        <f t="shared" si="25"/>
        <v>3.3647375504871518E-4</v>
      </c>
      <c r="F278" s="4">
        <f t="shared" si="26"/>
        <v>0.56606496264066075</v>
      </c>
      <c r="G278" s="6">
        <f t="shared" si="29"/>
        <v>-1.1317650691177723E-4</v>
      </c>
      <c r="H278" s="5">
        <f t="shared" si="28"/>
        <v>-0.19040193832514579</v>
      </c>
      <c r="I278" s="7">
        <f t="shared" si="27"/>
        <v>-0.19040199999999999</v>
      </c>
    </row>
    <row r="279" spans="1:9" x14ac:dyDescent="0.3">
      <c r="A279">
        <v>411.65</v>
      </c>
      <c r="B279" s="3">
        <f>A279/$A$202</f>
        <v>1.3850010093533407</v>
      </c>
      <c r="C279">
        <v>1.0140100000000001</v>
      </c>
      <c r="D279" s="4">
        <f t="shared" si="24"/>
        <v>101.40100000000001</v>
      </c>
      <c r="E279" s="4">
        <f t="shared" si="25"/>
        <v>0</v>
      </c>
      <c r="F279" s="4">
        <f t="shared" si="26"/>
        <v>0</v>
      </c>
      <c r="G279" s="6">
        <f t="shared" si="29"/>
        <v>-3.2199016975495671E-15</v>
      </c>
      <c r="H279" s="5">
        <f t="shared" si="28"/>
        <v>-5.4563076853723837E-12</v>
      </c>
      <c r="I279" s="7">
        <f t="shared" si="27"/>
        <v>0</v>
      </c>
    </row>
    <row r="280" spans="1:9" x14ac:dyDescent="0.3">
      <c r="A280">
        <v>413.13600000000002</v>
      </c>
      <c r="B280" s="3">
        <f>A280/$A$202</f>
        <v>1.3900006729022272</v>
      </c>
      <c r="C280">
        <v>1.0140100000000001</v>
      </c>
      <c r="D280" s="4">
        <f t="shared" si="24"/>
        <v>101.40100000000001</v>
      </c>
      <c r="E280" s="4">
        <f t="shared" si="25"/>
        <v>3.3647375503914563E-4</v>
      </c>
      <c r="F280" s="4">
        <f t="shared" si="26"/>
        <v>0.57429796262436694</v>
      </c>
      <c r="G280" s="6">
        <f t="shared" si="29"/>
        <v>1.132145878328223E-4</v>
      </c>
      <c r="H280" s="5">
        <f t="shared" si="28"/>
        <v>0.19323619200012473</v>
      </c>
      <c r="I280" s="7">
        <f t="shared" si="27"/>
        <v>0.19323599999999999</v>
      </c>
    </row>
    <row r="281" spans="1:9" x14ac:dyDescent="0.3">
      <c r="A281">
        <v>414.62200000000001</v>
      </c>
      <c r="B281" s="3">
        <f>A281/$A$202</f>
        <v>1.3950003364511137</v>
      </c>
      <c r="C281">
        <v>1.0140199999999999</v>
      </c>
      <c r="D281" s="4">
        <f t="shared" si="24"/>
        <v>101.40199999999999</v>
      </c>
      <c r="E281" s="4">
        <f t="shared" si="25"/>
        <v>3.3647375503915203E-4</v>
      </c>
      <c r="F281" s="4">
        <f t="shared" si="26"/>
        <v>0.57843675262427996</v>
      </c>
      <c r="G281" s="6">
        <f t="shared" si="29"/>
        <v>-1.1321458783282231E-4</v>
      </c>
      <c r="H281" s="5">
        <f t="shared" si="28"/>
        <v>-0.19462878621274321</v>
      </c>
      <c r="I281" s="7">
        <f t="shared" si="27"/>
        <v>-0.194629</v>
      </c>
    </row>
    <row r="282" spans="1:9" x14ac:dyDescent="0.3">
      <c r="A282">
        <v>416.108</v>
      </c>
      <c r="B282" s="3">
        <f>A282/$A$202</f>
        <v>1.4</v>
      </c>
      <c r="C282">
        <v>1.0140199999999999</v>
      </c>
      <c r="D282" s="4">
        <f t="shared" si="24"/>
        <v>101.40199999999999</v>
      </c>
      <c r="E282" s="4">
        <f t="shared" si="25"/>
        <v>0</v>
      </c>
      <c r="F282" s="4">
        <f t="shared" si="26"/>
        <v>0</v>
      </c>
      <c r="G282" s="6">
        <f t="shared" si="29"/>
        <v>3.2177493446500108E-15</v>
      </c>
      <c r="H282" s="5">
        <f t="shared" si="28"/>
        <v>5.5714000220469348E-12</v>
      </c>
      <c r="I282" s="7">
        <f t="shared" si="27"/>
        <v>0</v>
      </c>
    </row>
    <row r="283" spans="1:9" x14ac:dyDescent="0.3">
      <c r="A283">
        <v>417.59399999999999</v>
      </c>
      <c r="B283" s="3">
        <f>A283/$A$202</f>
        <v>1.4049996635488862</v>
      </c>
      <c r="C283">
        <v>1.0140199999999999</v>
      </c>
      <c r="D283" s="4">
        <f t="shared" si="24"/>
        <v>101.40199999999999</v>
      </c>
      <c r="E283" s="4">
        <f t="shared" si="25"/>
        <v>3.3647375504871518E-4</v>
      </c>
      <c r="F283" s="4">
        <f t="shared" si="26"/>
        <v>0.58675891264075974</v>
      </c>
      <c r="G283" s="6">
        <f t="shared" si="29"/>
        <v>1.132145878360422E-4</v>
      </c>
      <c r="H283" s="5">
        <f t="shared" si="28"/>
        <v>0.1974289746435948</v>
      </c>
      <c r="I283" s="7">
        <f t="shared" si="27"/>
        <v>0.19742899999999999</v>
      </c>
    </row>
    <row r="284" spans="1:9" x14ac:dyDescent="0.3">
      <c r="A284">
        <v>419.08</v>
      </c>
      <c r="B284" s="3">
        <f>A284/$A$202</f>
        <v>1.4099993270977724</v>
      </c>
      <c r="C284">
        <v>1.01403</v>
      </c>
      <c r="D284" s="4">
        <f t="shared" si="24"/>
        <v>101.40299999999999</v>
      </c>
      <c r="E284" s="4">
        <f t="shared" si="25"/>
        <v>3.3647375504871518E-4</v>
      </c>
      <c r="F284" s="4">
        <f t="shared" si="26"/>
        <v>0.59094228264077986</v>
      </c>
      <c r="G284" s="6">
        <f t="shared" si="29"/>
        <v>-1.132145878360422E-4</v>
      </c>
      <c r="H284" s="5">
        <f t="shared" si="28"/>
        <v>-0.19883656885625295</v>
      </c>
      <c r="I284" s="7">
        <f t="shared" si="27"/>
        <v>-0.19883700000000001</v>
      </c>
    </row>
    <row r="285" spans="1:9" x14ac:dyDescent="0.3">
      <c r="A285">
        <v>420.56599999999997</v>
      </c>
      <c r="B285" s="3">
        <f>A285/$A$202</f>
        <v>1.4149989906466589</v>
      </c>
      <c r="C285">
        <v>1.01403</v>
      </c>
      <c r="D285" s="4">
        <f t="shared" si="24"/>
        <v>101.40299999999999</v>
      </c>
      <c r="E285" s="4">
        <f t="shared" si="25"/>
        <v>0</v>
      </c>
      <c r="F285" s="4">
        <f t="shared" si="26"/>
        <v>0</v>
      </c>
      <c r="G285" s="6">
        <f t="shared" si="29"/>
        <v>-3.808092265664245E-8</v>
      </c>
      <c r="H285" s="5">
        <f t="shared" si="28"/>
        <v>-6.7355921499516607E-5</v>
      </c>
      <c r="I285" s="7">
        <f t="shared" si="27"/>
        <v>-6.7000000000000002E-5</v>
      </c>
    </row>
    <row r="286" spans="1:9" x14ac:dyDescent="0.3">
      <c r="A286">
        <v>422.05200000000002</v>
      </c>
      <c r="B286" s="3">
        <f>A286/$A$202</f>
        <v>1.4199986541955454</v>
      </c>
      <c r="C286">
        <v>1.01403</v>
      </c>
      <c r="D286" s="4">
        <f t="shared" si="24"/>
        <v>101.40299999999999</v>
      </c>
      <c r="E286" s="4">
        <f t="shared" si="25"/>
        <v>3.3636057854657963E-4</v>
      </c>
      <c r="F286" s="4">
        <f t="shared" si="26"/>
        <v>0.59915200372479349</v>
      </c>
      <c r="G286" s="6">
        <f t="shared" si="29"/>
        <v>1.1313843879804392E-4</v>
      </c>
      <c r="H286" s="5">
        <f t="shared" si="28"/>
        <v>0.20153111460639164</v>
      </c>
      <c r="I286" s="7">
        <f t="shared" si="27"/>
        <v>0.20153099999999999</v>
      </c>
    </row>
    <row r="287" spans="1:9" x14ac:dyDescent="0.3">
      <c r="A287">
        <v>423.53899999999999</v>
      </c>
      <c r="B287" s="3">
        <f>A287/$A$202</f>
        <v>1.425001682255568</v>
      </c>
      <c r="C287">
        <v>1.0140400000000001</v>
      </c>
      <c r="D287" s="4">
        <f t="shared" si="24"/>
        <v>101.40400000000001</v>
      </c>
      <c r="E287" s="4">
        <f t="shared" si="25"/>
        <v>3.3636057854658608E-4</v>
      </c>
      <c r="F287" s="4">
        <f t="shared" si="26"/>
        <v>0.60338138084227511</v>
      </c>
      <c r="G287" s="6">
        <f t="shared" si="29"/>
        <v>-1.1313843879804392E-4</v>
      </c>
      <c r="H287" s="5">
        <f t="shared" si="28"/>
        <v>-0.20295371034048854</v>
      </c>
      <c r="I287" s="7">
        <f t="shared" si="27"/>
        <v>-0.202954</v>
      </c>
    </row>
    <row r="288" spans="1:9" x14ac:dyDescent="0.3">
      <c r="A288">
        <v>425.02499999999998</v>
      </c>
      <c r="B288" s="3">
        <f>A288/$A$202</f>
        <v>1.4300013458044545</v>
      </c>
      <c r="C288">
        <v>1.0140400000000001</v>
      </c>
      <c r="D288" s="4">
        <f t="shared" si="24"/>
        <v>101.40400000000001</v>
      </c>
      <c r="E288" s="4">
        <f t="shared" si="25"/>
        <v>0</v>
      </c>
      <c r="F288" s="4">
        <f t="shared" si="26"/>
        <v>0</v>
      </c>
      <c r="G288" s="6">
        <f t="shared" si="29"/>
        <v>-1.1317650691338556E-4</v>
      </c>
      <c r="H288" s="5">
        <f t="shared" si="28"/>
        <v>-0.20444911632737495</v>
      </c>
      <c r="I288" s="7">
        <f t="shared" si="27"/>
        <v>-0.20444899999999999</v>
      </c>
    </row>
    <row r="289" spans="1:9" x14ac:dyDescent="0.3">
      <c r="A289">
        <v>426.51100000000002</v>
      </c>
      <c r="B289" s="3">
        <f>A289/$A$202</f>
        <v>1.435001009353341</v>
      </c>
      <c r="C289">
        <v>1.0140400000000001</v>
      </c>
      <c r="D289" s="4">
        <f t="shared" si="24"/>
        <v>101.40400000000001</v>
      </c>
      <c r="E289" s="4">
        <f t="shared" si="25"/>
        <v>0</v>
      </c>
      <c r="F289" s="4">
        <f t="shared" si="26"/>
        <v>0</v>
      </c>
      <c r="G289" s="6">
        <f t="shared" si="29"/>
        <v>0</v>
      </c>
      <c r="H289" s="5">
        <f t="shared" si="28"/>
        <v>0</v>
      </c>
      <c r="I289" s="7">
        <f t="shared" si="27"/>
        <v>0</v>
      </c>
    </row>
    <row r="290" spans="1:9" x14ac:dyDescent="0.3">
      <c r="A290">
        <v>427.99700000000001</v>
      </c>
      <c r="B290" s="3">
        <f>A290/$A$202</f>
        <v>1.4400006729022272</v>
      </c>
      <c r="C290">
        <v>1.0140400000000001</v>
      </c>
      <c r="D290" s="4">
        <f t="shared" si="24"/>
        <v>101.40400000000001</v>
      </c>
      <c r="E290" s="4">
        <f t="shared" si="25"/>
        <v>0</v>
      </c>
      <c r="F290" s="4">
        <f t="shared" si="26"/>
        <v>0</v>
      </c>
      <c r="G290" s="6">
        <f t="shared" si="29"/>
        <v>1.1321458783282445E-4</v>
      </c>
      <c r="H290" s="5">
        <f t="shared" si="28"/>
        <v>0.20738810323525494</v>
      </c>
      <c r="I290" s="7">
        <f t="shared" si="27"/>
        <v>0.20738799999999999</v>
      </c>
    </row>
    <row r="291" spans="1:9" x14ac:dyDescent="0.3">
      <c r="A291">
        <v>429.483</v>
      </c>
      <c r="B291" s="3">
        <f>A291/$A$202</f>
        <v>1.4450003364511135</v>
      </c>
      <c r="C291">
        <v>1.0140400000000001</v>
      </c>
      <c r="D291" s="4">
        <f t="shared" si="24"/>
        <v>101.40400000000001</v>
      </c>
      <c r="E291" s="4">
        <f t="shared" si="25"/>
        <v>3.3647375503915203E-4</v>
      </c>
      <c r="F291" s="4">
        <f t="shared" si="26"/>
        <v>0.62064484281507215</v>
      </c>
      <c r="G291" s="6">
        <f t="shared" si="29"/>
        <v>1.1321458783282445E-4</v>
      </c>
      <c r="H291" s="5">
        <f t="shared" si="28"/>
        <v>0.20883070081260977</v>
      </c>
      <c r="I291" s="7">
        <f t="shared" si="27"/>
        <v>0.20883099999999999</v>
      </c>
    </row>
    <row r="292" spans="1:9" x14ac:dyDescent="0.3">
      <c r="A292">
        <v>430.96899999999999</v>
      </c>
      <c r="B292" s="3">
        <f>A292/$A$202</f>
        <v>1.45</v>
      </c>
      <c r="C292">
        <v>1.0140499999999999</v>
      </c>
      <c r="D292" s="4">
        <f t="shared" si="24"/>
        <v>101.40499999999999</v>
      </c>
      <c r="E292" s="4">
        <f t="shared" si="25"/>
        <v>3.3647375503915203E-4</v>
      </c>
      <c r="F292" s="4">
        <f t="shared" si="26"/>
        <v>0.62494710281497046</v>
      </c>
      <c r="G292" s="6">
        <f t="shared" si="29"/>
        <v>-1.1321458783282445E-4</v>
      </c>
      <c r="H292" s="5">
        <f t="shared" si="28"/>
        <v>-0.21027829838996454</v>
      </c>
      <c r="I292" s="7">
        <f t="shared" si="27"/>
        <v>-0.21027799999999999</v>
      </c>
    </row>
    <row r="293" spans="1:9" x14ac:dyDescent="0.3">
      <c r="A293">
        <v>432.45499999999998</v>
      </c>
      <c r="B293" s="3">
        <f>A293/$A$202</f>
        <v>1.4549996635488862</v>
      </c>
      <c r="C293">
        <v>1.0140499999999999</v>
      </c>
      <c r="D293" s="4">
        <f t="shared" si="24"/>
        <v>101.40499999999999</v>
      </c>
      <c r="E293" s="4">
        <f t="shared" si="25"/>
        <v>0</v>
      </c>
      <c r="F293" s="4">
        <f t="shared" si="26"/>
        <v>0</v>
      </c>
      <c r="G293" s="6">
        <f t="shared" si="29"/>
        <v>-1.1321458783282445E-4</v>
      </c>
      <c r="H293" s="5">
        <f t="shared" si="28"/>
        <v>-0.21173089596731917</v>
      </c>
      <c r="I293" s="7">
        <f t="shared" si="27"/>
        <v>-0.211731</v>
      </c>
    </row>
    <row r="294" spans="1:9" x14ac:dyDescent="0.3">
      <c r="A294">
        <v>433.94099999999997</v>
      </c>
      <c r="B294" s="3">
        <f>A294/$A$202</f>
        <v>1.4599993270977725</v>
      </c>
      <c r="C294">
        <v>1.0140499999999999</v>
      </c>
      <c r="D294" s="4">
        <f t="shared" si="24"/>
        <v>101.40499999999999</v>
      </c>
      <c r="E294" s="4">
        <f t="shared" si="25"/>
        <v>0</v>
      </c>
      <c r="F294" s="4">
        <f t="shared" si="26"/>
        <v>0</v>
      </c>
      <c r="G294" s="6">
        <f t="shared" si="29"/>
        <v>0</v>
      </c>
      <c r="H294" s="5">
        <f t="shared" si="28"/>
        <v>0</v>
      </c>
      <c r="I294" s="7">
        <f t="shared" si="27"/>
        <v>0</v>
      </c>
    </row>
    <row r="295" spans="1:9" x14ac:dyDescent="0.3">
      <c r="A295">
        <v>435.42700000000002</v>
      </c>
      <c r="B295" s="3">
        <f>A295/$A$202</f>
        <v>1.4649989906466589</v>
      </c>
      <c r="C295">
        <v>1.0140499999999999</v>
      </c>
      <c r="D295" s="4">
        <f t="shared" si="24"/>
        <v>101.40499999999999</v>
      </c>
      <c r="E295" s="4">
        <f t="shared" si="25"/>
        <v>0</v>
      </c>
      <c r="F295" s="4">
        <f t="shared" si="26"/>
        <v>0</v>
      </c>
      <c r="G295" s="6">
        <f t="shared" si="29"/>
        <v>0</v>
      </c>
      <c r="H295" s="5">
        <f t="shared" si="28"/>
        <v>0</v>
      </c>
      <c r="I295" s="7">
        <f t="shared" si="27"/>
        <v>0</v>
      </c>
    </row>
    <row r="296" spans="1:9" x14ac:dyDescent="0.3">
      <c r="A296">
        <v>436.91300000000001</v>
      </c>
      <c r="B296" s="3">
        <f>A296/$A$202</f>
        <v>1.4699986541955452</v>
      </c>
      <c r="C296">
        <v>1.0140499999999999</v>
      </c>
      <c r="D296" s="4">
        <f t="shared" si="24"/>
        <v>101.40499999999999</v>
      </c>
      <c r="E296" s="4">
        <f t="shared" si="25"/>
        <v>0</v>
      </c>
      <c r="F296" s="4">
        <f t="shared" si="26"/>
        <v>0</v>
      </c>
      <c r="G296" s="6">
        <f t="shared" si="29"/>
        <v>1.1313843879643613E-4</v>
      </c>
      <c r="H296" s="5">
        <f t="shared" si="28"/>
        <v>0.21597332554252255</v>
      </c>
      <c r="I296" s="7">
        <f t="shared" si="27"/>
        <v>0.215973</v>
      </c>
    </row>
    <row r="297" spans="1:9" x14ac:dyDescent="0.3">
      <c r="A297">
        <v>438.4</v>
      </c>
      <c r="B297" s="3">
        <f>A297/$A$202</f>
        <v>1.475001682255568</v>
      </c>
      <c r="C297">
        <v>1.0140499999999999</v>
      </c>
      <c r="D297" s="4">
        <f t="shared" si="24"/>
        <v>101.40499999999999</v>
      </c>
      <c r="E297" s="4">
        <f t="shared" si="25"/>
        <v>3.3636057854179966E-4</v>
      </c>
      <c r="F297" s="4">
        <f t="shared" si="26"/>
        <v>0.64646673394186627</v>
      </c>
      <c r="G297" s="6">
        <f t="shared" si="29"/>
        <v>1.1317650691177508E-4</v>
      </c>
      <c r="H297" s="5">
        <f t="shared" si="28"/>
        <v>0.21751908948245566</v>
      </c>
      <c r="I297" s="7">
        <f t="shared" si="27"/>
        <v>0.21751899999999999</v>
      </c>
    </row>
    <row r="298" spans="1:9" x14ac:dyDescent="0.3">
      <c r="A298">
        <v>439.88600000000002</v>
      </c>
      <c r="B298" s="3">
        <f>A298/$A$202</f>
        <v>1.4800013458044545</v>
      </c>
      <c r="C298">
        <v>1.01406</v>
      </c>
      <c r="D298" s="4">
        <f t="shared" si="24"/>
        <v>101.40599999999999</v>
      </c>
      <c r="E298" s="4">
        <f t="shared" si="25"/>
        <v>3.3647375504870878E-4</v>
      </c>
      <c r="F298" s="4">
        <f t="shared" si="26"/>
        <v>0.65107568303136465</v>
      </c>
      <c r="G298" s="6">
        <f t="shared" si="29"/>
        <v>-1.1317650691177506E-4</v>
      </c>
      <c r="H298" s="5">
        <f t="shared" si="28"/>
        <v>-0.21899619341788151</v>
      </c>
      <c r="I298" s="7">
        <f t="shared" si="27"/>
        <v>-0.218996</v>
      </c>
    </row>
    <row r="299" spans="1:9" x14ac:dyDescent="0.3">
      <c r="A299">
        <v>441.37200000000001</v>
      </c>
      <c r="B299" s="3">
        <f>A299/$A$202</f>
        <v>1.4850010093533408</v>
      </c>
      <c r="C299">
        <v>1.01406</v>
      </c>
      <c r="D299" s="4">
        <f t="shared" si="24"/>
        <v>101.40599999999999</v>
      </c>
      <c r="E299" s="4">
        <f t="shared" si="25"/>
        <v>0</v>
      </c>
      <c r="F299" s="4">
        <f t="shared" si="26"/>
        <v>0</v>
      </c>
      <c r="G299" s="6">
        <f t="shared" si="29"/>
        <v>-1.1321458783604006E-4</v>
      </c>
      <c r="H299" s="5">
        <f t="shared" si="28"/>
        <v>-0.22055248083155787</v>
      </c>
      <c r="I299" s="7">
        <f t="shared" si="27"/>
        <v>-0.220552</v>
      </c>
    </row>
    <row r="300" spans="1:9" x14ac:dyDescent="0.3">
      <c r="A300">
        <v>442.858</v>
      </c>
      <c r="B300" s="3">
        <f>A300/$A$202</f>
        <v>1.4900006729022273</v>
      </c>
      <c r="C300">
        <v>1.01406</v>
      </c>
      <c r="D300" s="4">
        <f t="shared" si="24"/>
        <v>101.40599999999999</v>
      </c>
      <c r="E300" s="4">
        <f t="shared" si="25"/>
        <v>0</v>
      </c>
      <c r="F300" s="4">
        <f t="shared" si="26"/>
        <v>0</v>
      </c>
      <c r="G300" s="6">
        <f t="shared" si="29"/>
        <v>0</v>
      </c>
      <c r="H300" s="5">
        <f t="shared" si="28"/>
        <v>0</v>
      </c>
      <c r="I300" s="7">
        <f t="shared" si="27"/>
        <v>0</v>
      </c>
    </row>
    <row r="301" spans="1:9" x14ac:dyDescent="0.3">
      <c r="A301">
        <v>444.34399999999999</v>
      </c>
      <c r="B301" s="3">
        <f>A301/$A$202</f>
        <v>1.4950003364511135</v>
      </c>
      <c r="C301">
        <v>1.01406</v>
      </c>
      <c r="D301" s="4">
        <f t="shared" si="24"/>
        <v>101.40599999999999</v>
      </c>
      <c r="E301" s="4">
        <f t="shared" si="25"/>
        <v>0</v>
      </c>
      <c r="F301" s="4">
        <f t="shared" si="26"/>
        <v>0</v>
      </c>
      <c r="G301" s="6">
        <f t="shared" si="29"/>
        <v>0</v>
      </c>
      <c r="H301" s="5">
        <f t="shared" si="28"/>
        <v>0</v>
      </c>
      <c r="I301" s="7">
        <f t="shared" si="27"/>
        <v>0</v>
      </c>
    </row>
    <row r="302" spans="1:9" x14ac:dyDescent="0.3">
      <c r="A302">
        <v>445.83</v>
      </c>
      <c r="B302" s="3">
        <f>A302/$A$202</f>
        <v>1.4999999999999998</v>
      </c>
      <c r="C302">
        <v>1.01406</v>
      </c>
      <c r="D302" s="4">
        <f t="shared" si="24"/>
        <v>101.40599999999999</v>
      </c>
      <c r="E302" s="4">
        <f t="shared" si="25"/>
        <v>0</v>
      </c>
      <c r="F302" s="4">
        <f t="shared" si="26"/>
        <v>0</v>
      </c>
      <c r="G302" s="6">
        <f t="shared" si="29"/>
        <v>0</v>
      </c>
      <c r="H302" s="5">
        <f t="shared" si="28"/>
        <v>0</v>
      </c>
      <c r="I302" s="7">
        <f t="shared" si="27"/>
        <v>0</v>
      </c>
    </row>
    <row r="303" spans="1:9" x14ac:dyDescent="0.3">
      <c r="A303">
        <v>447.31599999999997</v>
      </c>
      <c r="B303" s="3">
        <f>A303/$A$202</f>
        <v>1.504999663548886</v>
      </c>
      <c r="C303">
        <v>1.01406</v>
      </c>
      <c r="D303" s="4">
        <f t="shared" si="24"/>
        <v>101.40599999999999</v>
      </c>
      <c r="E303" s="4">
        <f t="shared" si="25"/>
        <v>0</v>
      </c>
      <c r="F303" s="4">
        <f t="shared" si="26"/>
        <v>0</v>
      </c>
      <c r="G303" s="6">
        <f t="shared" si="29"/>
        <v>0</v>
      </c>
      <c r="H303" s="5">
        <f t="shared" si="28"/>
        <v>0</v>
      </c>
      <c r="I303" s="7">
        <f t="shared" si="27"/>
        <v>0</v>
      </c>
    </row>
    <row r="304" spans="1:9" x14ac:dyDescent="0.3">
      <c r="A304">
        <v>448.80200000000002</v>
      </c>
      <c r="B304" s="3">
        <f>A304/$A$202</f>
        <v>1.5099993270977725</v>
      </c>
      <c r="C304">
        <v>1.01406</v>
      </c>
      <c r="D304" s="4">
        <f t="shared" si="24"/>
        <v>101.40599999999999</v>
      </c>
      <c r="E304" s="4">
        <f t="shared" si="25"/>
        <v>0</v>
      </c>
      <c r="F304" s="4">
        <f t="shared" si="26"/>
        <v>0</v>
      </c>
      <c r="G304" s="6">
        <f t="shared" si="29"/>
        <v>0</v>
      </c>
      <c r="H304" s="5">
        <f t="shared" si="28"/>
        <v>0</v>
      </c>
      <c r="I304" s="7">
        <f t="shared" si="27"/>
        <v>0</v>
      </c>
    </row>
    <row r="305" spans="1:9" x14ac:dyDescent="0.3">
      <c r="A305">
        <v>450.28800000000001</v>
      </c>
      <c r="B305" s="3">
        <f>A305/$A$202</f>
        <v>1.514998990646659</v>
      </c>
      <c r="C305">
        <v>1.01406</v>
      </c>
      <c r="D305" s="4">
        <f t="shared" si="24"/>
        <v>101.40599999999999</v>
      </c>
      <c r="E305" s="4">
        <f t="shared" si="25"/>
        <v>0</v>
      </c>
      <c r="F305" s="4">
        <f t="shared" si="26"/>
        <v>0</v>
      </c>
      <c r="G305" s="6">
        <f t="shared" si="29"/>
        <v>0</v>
      </c>
      <c r="H305" s="5">
        <f t="shared" si="28"/>
        <v>0</v>
      </c>
      <c r="I305" s="7">
        <f t="shared" si="27"/>
        <v>0</v>
      </c>
    </row>
    <row r="306" spans="1:9" x14ac:dyDescent="0.3">
      <c r="A306">
        <v>451.774</v>
      </c>
      <c r="B306" s="3">
        <f>A306/$A$202</f>
        <v>1.5199986541955453</v>
      </c>
      <c r="C306">
        <v>1.01406</v>
      </c>
      <c r="D306" s="4">
        <f t="shared" si="24"/>
        <v>101.40599999999999</v>
      </c>
      <c r="E306" s="4">
        <f t="shared" si="25"/>
        <v>0</v>
      </c>
      <c r="F306" s="4">
        <f t="shared" si="26"/>
        <v>0</v>
      </c>
      <c r="G306" s="6">
        <f t="shared" si="29"/>
        <v>0</v>
      </c>
      <c r="H306" s="5">
        <f t="shared" si="28"/>
        <v>0</v>
      </c>
      <c r="I306" s="7">
        <f t="shared" si="27"/>
        <v>0</v>
      </c>
    </row>
    <row r="307" spans="1:9" x14ac:dyDescent="0.3">
      <c r="A307">
        <v>453.26100000000002</v>
      </c>
      <c r="B307" s="3">
        <f>A307/$A$202</f>
        <v>1.5250016822555683</v>
      </c>
      <c r="C307">
        <v>1.01406</v>
      </c>
      <c r="D307" s="4">
        <f t="shared" si="24"/>
        <v>101.40599999999999</v>
      </c>
      <c r="E307" s="4">
        <f t="shared" si="25"/>
        <v>0</v>
      </c>
      <c r="F307" s="4">
        <f t="shared" si="26"/>
        <v>0</v>
      </c>
      <c r="G307" s="6">
        <f t="shared" si="29"/>
        <v>0</v>
      </c>
      <c r="H307" s="5">
        <f t="shared" si="28"/>
        <v>0</v>
      </c>
      <c r="I307" s="7">
        <f t="shared" si="27"/>
        <v>0</v>
      </c>
    </row>
    <row r="308" spans="1:9" x14ac:dyDescent="0.3">
      <c r="A308">
        <v>454.74700000000001</v>
      </c>
      <c r="B308" s="3">
        <f>A308/$A$202</f>
        <v>1.5300013458044546</v>
      </c>
      <c r="C308">
        <v>1.01406</v>
      </c>
      <c r="D308" s="4">
        <f t="shared" si="24"/>
        <v>101.40599999999999</v>
      </c>
      <c r="E308" s="4">
        <f t="shared" si="25"/>
        <v>0</v>
      </c>
      <c r="F308" s="4">
        <f t="shared" si="26"/>
        <v>0</v>
      </c>
      <c r="G308" s="6">
        <f t="shared" si="29"/>
        <v>0</v>
      </c>
      <c r="H308" s="5">
        <f t="shared" si="28"/>
        <v>0</v>
      </c>
      <c r="I308" s="7">
        <f t="shared" si="27"/>
        <v>0</v>
      </c>
    </row>
    <row r="309" spans="1:9" x14ac:dyDescent="0.3">
      <c r="A309">
        <v>456.233</v>
      </c>
      <c r="B309" s="3">
        <f>A309/$A$202</f>
        <v>1.5350010093533408</v>
      </c>
      <c r="C309">
        <v>1.01406</v>
      </c>
      <c r="D309" s="4">
        <f t="shared" si="24"/>
        <v>101.40599999999999</v>
      </c>
      <c r="E309" s="4">
        <f t="shared" si="25"/>
        <v>0</v>
      </c>
      <c r="F309" s="4">
        <f t="shared" si="26"/>
        <v>0</v>
      </c>
      <c r="G309" s="6">
        <f t="shared" si="29"/>
        <v>1.132145878360422E-4</v>
      </c>
      <c r="H309" s="5">
        <f t="shared" si="28"/>
        <v>0.23565452329638836</v>
      </c>
      <c r="I309" s="7">
        <f t="shared" si="27"/>
        <v>0.235655</v>
      </c>
    </row>
    <row r="310" spans="1:9" x14ac:dyDescent="0.3">
      <c r="A310">
        <v>457.71899999999999</v>
      </c>
      <c r="B310" s="3">
        <f>A310/$A$202</f>
        <v>1.5400006729022271</v>
      </c>
      <c r="C310">
        <v>1.01406</v>
      </c>
      <c r="D310" s="4">
        <f t="shared" si="24"/>
        <v>101.40599999999999</v>
      </c>
      <c r="E310" s="4">
        <f t="shared" si="25"/>
        <v>3.3647375504871518E-4</v>
      </c>
      <c r="F310" s="4">
        <f t="shared" si="26"/>
        <v>0.70493500323688341</v>
      </c>
      <c r="G310" s="6">
        <f t="shared" si="29"/>
        <v>1.132145878360422E-4</v>
      </c>
      <c r="H310" s="5">
        <f t="shared" si="28"/>
        <v>0.23719212760325983</v>
      </c>
      <c r="I310" s="7">
        <f t="shared" si="27"/>
        <v>0.23719199999999999</v>
      </c>
    </row>
    <row r="311" spans="1:9" x14ac:dyDescent="0.3">
      <c r="A311">
        <v>459.20499999999998</v>
      </c>
      <c r="B311" s="3">
        <f>A311/$A$202</f>
        <v>1.5450003364511136</v>
      </c>
      <c r="C311">
        <v>1.01407</v>
      </c>
      <c r="D311" s="4">
        <f t="shared" si="24"/>
        <v>101.407</v>
      </c>
      <c r="E311" s="4">
        <f t="shared" si="25"/>
        <v>3.3647375504871518E-4</v>
      </c>
      <c r="F311" s="4">
        <f t="shared" si="26"/>
        <v>0.70951962323690532</v>
      </c>
      <c r="G311" s="6">
        <f t="shared" si="29"/>
        <v>-1.132145878360422E-4</v>
      </c>
      <c r="H311" s="5">
        <f t="shared" si="28"/>
        <v>-0.23873473191013125</v>
      </c>
      <c r="I311" s="7">
        <f t="shared" si="27"/>
        <v>-0.238735</v>
      </c>
    </row>
    <row r="312" spans="1:9" x14ac:dyDescent="0.3">
      <c r="A312">
        <v>460.69099999999997</v>
      </c>
      <c r="B312" s="3">
        <f>A312/$A$202</f>
        <v>1.5499999999999998</v>
      </c>
      <c r="C312">
        <v>1.01407</v>
      </c>
      <c r="D312" s="4">
        <f t="shared" si="24"/>
        <v>101.407</v>
      </c>
      <c r="E312" s="4">
        <f t="shared" si="25"/>
        <v>0</v>
      </c>
      <c r="F312" s="4">
        <f t="shared" si="26"/>
        <v>0</v>
      </c>
      <c r="G312" s="6">
        <f t="shared" si="29"/>
        <v>-1.1321458783604005E-4</v>
      </c>
      <c r="H312" s="5">
        <f t="shared" si="28"/>
        <v>-0.24028233621699815</v>
      </c>
      <c r="I312" s="7">
        <f t="shared" si="27"/>
        <v>-0.240282</v>
      </c>
    </row>
    <row r="313" spans="1:9" x14ac:dyDescent="0.3">
      <c r="A313">
        <v>462.17700000000002</v>
      </c>
      <c r="B313" s="3">
        <f>A313/$A$202</f>
        <v>1.5549996635488863</v>
      </c>
      <c r="C313">
        <v>1.01407</v>
      </c>
      <c r="D313" s="4">
        <f t="shared" si="24"/>
        <v>101.407</v>
      </c>
      <c r="E313" s="4">
        <f t="shared" si="25"/>
        <v>0</v>
      </c>
      <c r="F313" s="4">
        <f t="shared" si="26"/>
        <v>0</v>
      </c>
      <c r="G313" s="6">
        <f t="shared" si="29"/>
        <v>0</v>
      </c>
      <c r="H313" s="5">
        <f t="shared" si="28"/>
        <v>0</v>
      </c>
      <c r="I313" s="7">
        <f t="shared" si="27"/>
        <v>0</v>
      </c>
    </row>
    <row r="314" spans="1:9" x14ac:dyDescent="0.3">
      <c r="A314">
        <v>463.66300000000001</v>
      </c>
      <c r="B314" s="3">
        <f>A314/$A$202</f>
        <v>1.5599993270977726</v>
      </c>
      <c r="C314">
        <v>1.01407</v>
      </c>
      <c r="D314" s="4">
        <f t="shared" si="24"/>
        <v>101.407</v>
      </c>
      <c r="E314" s="4">
        <f t="shared" si="25"/>
        <v>0</v>
      </c>
      <c r="F314" s="4">
        <f t="shared" si="26"/>
        <v>0</v>
      </c>
      <c r="G314" s="6">
        <f t="shared" si="29"/>
        <v>0</v>
      </c>
      <c r="H314" s="5">
        <f t="shared" si="28"/>
        <v>0</v>
      </c>
      <c r="I314" s="7">
        <f t="shared" si="27"/>
        <v>0</v>
      </c>
    </row>
    <row r="315" spans="1:9" x14ac:dyDescent="0.3">
      <c r="A315">
        <v>465.149</v>
      </c>
      <c r="B315" s="3">
        <f>A315/$A$202</f>
        <v>1.5649989906466588</v>
      </c>
      <c r="C315">
        <v>1.01407</v>
      </c>
      <c r="D315" s="4">
        <f t="shared" si="24"/>
        <v>101.407</v>
      </c>
      <c r="E315" s="4">
        <f t="shared" si="25"/>
        <v>0</v>
      </c>
      <c r="F315" s="4">
        <f t="shared" si="26"/>
        <v>0</v>
      </c>
      <c r="G315" s="6">
        <f t="shared" si="29"/>
        <v>0</v>
      </c>
      <c r="H315" s="5">
        <f t="shared" si="28"/>
        <v>0</v>
      </c>
      <c r="I315" s="7">
        <f t="shared" si="27"/>
        <v>0</v>
      </c>
    </row>
    <row r="316" spans="1:9" x14ac:dyDescent="0.3">
      <c r="A316">
        <v>466.63499999999999</v>
      </c>
      <c r="B316" s="3">
        <f>A316/$A$202</f>
        <v>1.5699986541955453</v>
      </c>
      <c r="C316">
        <v>1.01407</v>
      </c>
      <c r="D316" s="4">
        <f t="shared" si="24"/>
        <v>101.407</v>
      </c>
      <c r="E316" s="4">
        <f t="shared" si="25"/>
        <v>0</v>
      </c>
      <c r="F316" s="4">
        <f t="shared" si="26"/>
        <v>0</v>
      </c>
      <c r="G316" s="6">
        <f t="shared" si="29"/>
        <v>0</v>
      </c>
      <c r="H316" s="5">
        <f t="shared" si="28"/>
        <v>0</v>
      </c>
      <c r="I316" s="7">
        <f t="shared" si="27"/>
        <v>0</v>
      </c>
    </row>
    <row r="317" spans="1:9" x14ac:dyDescent="0.3">
      <c r="A317">
        <v>468.12200000000001</v>
      </c>
      <c r="B317" s="3">
        <f>A317/$A$202</f>
        <v>1.5750016822555681</v>
      </c>
      <c r="C317">
        <v>1.01407</v>
      </c>
      <c r="D317" s="4">
        <f t="shared" si="24"/>
        <v>101.407</v>
      </c>
      <c r="E317" s="4">
        <f t="shared" si="25"/>
        <v>0</v>
      </c>
      <c r="F317" s="4">
        <f t="shared" si="26"/>
        <v>0</v>
      </c>
      <c r="G317" s="6">
        <f t="shared" si="29"/>
        <v>0</v>
      </c>
      <c r="H317" s="5">
        <f t="shared" si="28"/>
        <v>0</v>
      </c>
      <c r="I317" s="7">
        <f t="shared" si="27"/>
        <v>0</v>
      </c>
    </row>
    <row r="318" spans="1:9" x14ac:dyDescent="0.3">
      <c r="A318">
        <v>469.608</v>
      </c>
      <c r="B318" s="3">
        <f>A318/$A$202</f>
        <v>1.5800013458044544</v>
      </c>
      <c r="C318">
        <v>1.01407</v>
      </c>
      <c r="D318" s="4">
        <f t="shared" si="24"/>
        <v>101.407</v>
      </c>
      <c r="E318" s="4">
        <f t="shared" si="25"/>
        <v>0</v>
      </c>
      <c r="F318" s="4">
        <f t="shared" si="26"/>
        <v>0</v>
      </c>
      <c r="G318" s="6">
        <f t="shared" si="29"/>
        <v>0</v>
      </c>
      <c r="H318" s="5">
        <f t="shared" si="28"/>
        <v>0</v>
      </c>
      <c r="I318" s="7">
        <f t="shared" si="27"/>
        <v>0</v>
      </c>
    </row>
    <row r="319" spans="1:9" x14ac:dyDescent="0.3">
      <c r="A319">
        <v>471.09399999999999</v>
      </c>
      <c r="B319" s="3">
        <f>A319/$A$202</f>
        <v>1.5850010093533409</v>
      </c>
      <c r="C319">
        <v>1.01407</v>
      </c>
      <c r="D319" s="4">
        <f t="shared" si="24"/>
        <v>101.407</v>
      </c>
      <c r="E319" s="4">
        <f t="shared" si="25"/>
        <v>0</v>
      </c>
      <c r="F319" s="4">
        <f t="shared" si="26"/>
        <v>0</v>
      </c>
      <c r="G319" s="6">
        <f t="shared" si="29"/>
        <v>0</v>
      </c>
      <c r="H319" s="5">
        <f t="shared" si="28"/>
        <v>0</v>
      </c>
      <c r="I319" s="7">
        <f t="shared" si="27"/>
        <v>0</v>
      </c>
    </row>
    <row r="320" spans="1:9" x14ac:dyDescent="0.3">
      <c r="A320">
        <v>472.58</v>
      </c>
      <c r="B320" s="3">
        <f>A320/$A$202</f>
        <v>1.5900006729022271</v>
      </c>
      <c r="C320">
        <v>1.01407</v>
      </c>
      <c r="D320" s="4">
        <f t="shared" si="24"/>
        <v>101.407</v>
      </c>
      <c r="E320" s="4">
        <f t="shared" si="25"/>
        <v>0</v>
      </c>
      <c r="F320" s="4">
        <f t="shared" si="26"/>
        <v>0</v>
      </c>
      <c r="G320" s="6">
        <f t="shared" si="29"/>
        <v>0</v>
      </c>
      <c r="H320" s="5">
        <f t="shared" si="28"/>
        <v>0</v>
      </c>
      <c r="I320" s="7">
        <f t="shared" si="27"/>
        <v>0</v>
      </c>
    </row>
    <row r="321" spans="1:9" x14ac:dyDescent="0.3">
      <c r="A321">
        <v>474.06599999999997</v>
      </c>
      <c r="B321" s="3">
        <f>A321/$A$202</f>
        <v>1.5950003364511134</v>
      </c>
      <c r="C321">
        <v>1.01407</v>
      </c>
      <c r="D321" s="4">
        <f t="shared" si="24"/>
        <v>101.407</v>
      </c>
      <c r="E321" s="4">
        <f t="shared" si="25"/>
        <v>0</v>
      </c>
      <c r="F321" s="4">
        <f t="shared" si="26"/>
        <v>0</v>
      </c>
      <c r="G321" s="6">
        <f t="shared" si="29"/>
        <v>0</v>
      </c>
      <c r="H321" s="5">
        <f t="shared" si="28"/>
        <v>0</v>
      </c>
      <c r="I321" s="7">
        <f t="shared" si="27"/>
        <v>0</v>
      </c>
    </row>
    <row r="322" spans="1:9" x14ac:dyDescent="0.3">
      <c r="A322">
        <v>475.55200000000002</v>
      </c>
      <c r="B322" s="3">
        <f>A322/$A$202</f>
        <v>1.5999999999999999</v>
      </c>
      <c r="C322">
        <v>1.01407</v>
      </c>
      <c r="D322" s="4">
        <f t="shared" si="24"/>
        <v>101.407</v>
      </c>
      <c r="E322" s="4">
        <f t="shared" si="25"/>
        <v>0</v>
      </c>
      <c r="F322" s="4">
        <f t="shared" si="26"/>
        <v>0</v>
      </c>
      <c r="G322" s="6">
        <f t="shared" si="29"/>
        <v>0</v>
      </c>
      <c r="H322" s="5">
        <f t="shared" si="28"/>
        <v>0</v>
      </c>
      <c r="I322" s="7">
        <f t="shared" si="27"/>
        <v>0</v>
      </c>
    </row>
    <row r="323" spans="1:9" x14ac:dyDescent="0.3">
      <c r="A323">
        <v>477.03800000000001</v>
      </c>
      <c r="B323" s="3">
        <f>A323/$A$202</f>
        <v>1.6049996635488863</v>
      </c>
      <c r="C323">
        <v>1.01407</v>
      </c>
      <c r="D323" s="4">
        <f t="shared" ref="D323:D386" si="30">C323*100</f>
        <v>101.407</v>
      </c>
      <c r="E323" s="4">
        <f t="shared" si="25"/>
        <v>0</v>
      </c>
      <c r="F323" s="4">
        <f t="shared" si="26"/>
        <v>0</v>
      </c>
      <c r="G323" s="6">
        <f t="shared" si="29"/>
        <v>0</v>
      </c>
      <c r="H323" s="5">
        <f t="shared" si="28"/>
        <v>0</v>
      </c>
      <c r="I323" s="7">
        <f t="shared" si="27"/>
        <v>0</v>
      </c>
    </row>
    <row r="324" spans="1:9" x14ac:dyDescent="0.3">
      <c r="A324">
        <v>478.524</v>
      </c>
      <c r="B324" s="3">
        <f>A324/$A$202</f>
        <v>1.6099993270977726</v>
      </c>
      <c r="C324">
        <v>1.01407</v>
      </c>
      <c r="D324" s="4">
        <f t="shared" si="30"/>
        <v>101.407</v>
      </c>
      <c r="E324" s="4">
        <f t="shared" ref="E324:E387" si="31">(D325-D323)/(A325-A323)</f>
        <v>0</v>
      </c>
      <c r="F324" s="4">
        <f t="shared" ref="F324:F387" si="32">E324*0.01*A324*A324</f>
        <v>0</v>
      </c>
      <c r="G324" s="6">
        <f t="shared" si="29"/>
        <v>0</v>
      </c>
      <c r="H324" s="5">
        <f t="shared" si="28"/>
        <v>0</v>
      </c>
      <c r="I324" s="7">
        <f t="shared" ref="I324:I387" si="33">ROUND(H324,6)</f>
        <v>0</v>
      </c>
    </row>
    <row r="325" spans="1:9" x14ac:dyDescent="0.3">
      <c r="A325">
        <v>480.01</v>
      </c>
      <c r="B325" s="3">
        <f>A325/$A$202</f>
        <v>1.6149989906466589</v>
      </c>
      <c r="C325">
        <v>1.01407</v>
      </c>
      <c r="D325" s="4">
        <f t="shared" si="30"/>
        <v>101.407</v>
      </c>
      <c r="E325" s="4">
        <f t="shared" si="31"/>
        <v>0</v>
      </c>
      <c r="F325" s="4">
        <f t="shared" si="32"/>
        <v>0</v>
      </c>
      <c r="G325" s="6">
        <f t="shared" si="29"/>
        <v>0</v>
      </c>
      <c r="H325" s="5">
        <f t="shared" ref="H325:H388" si="34">G325*A325*0.01*A325</f>
        <v>0</v>
      </c>
      <c r="I325" s="7">
        <f t="shared" si="33"/>
        <v>0</v>
      </c>
    </row>
    <row r="326" spans="1:9" x14ac:dyDescent="0.3">
      <c r="A326">
        <v>481.49599999999998</v>
      </c>
      <c r="B326" s="3">
        <f>A326/$A$202</f>
        <v>1.6199986541955451</v>
      </c>
      <c r="C326">
        <v>1.01407</v>
      </c>
      <c r="D326" s="4">
        <f t="shared" si="30"/>
        <v>101.407</v>
      </c>
      <c r="E326" s="4">
        <f t="shared" si="31"/>
        <v>0</v>
      </c>
      <c r="F326" s="4">
        <f t="shared" si="32"/>
        <v>0</v>
      </c>
      <c r="G326" s="6">
        <f t="shared" ref="G326:G389" si="35">(E327-E325)/(A327-A325)</f>
        <v>0</v>
      </c>
      <c r="H326" s="5">
        <f t="shared" si="34"/>
        <v>0</v>
      </c>
      <c r="I326" s="7">
        <f t="shared" si="33"/>
        <v>0</v>
      </c>
    </row>
    <row r="327" spans="1:9" x14ac:dyDescent="0.3">
      <c r="A327">
        <v>482.983</v>
      </c>
      <c r="B327" s="3">
        <f>A327/$A$202</f>
        <v>1.6250016822555682</v>
      </c>
      <c r="C327">
        <v>1.01407</v>
      </c>
      <c r="D327" s="4">
        <f t="shared" si="30"/>
        <v>101.407</v>
      </c>
      <c r="E327" s="4">
        <f t="shared" si="31"/>
        <v>0</v>
      </c>
      <c r="F327" s="4">
        <f t="shared" si="32"/>
        <v>0</v>
      </c>
      <c r="G327" s="6">
        <f t="shared" si="35"/>
        <v>0</v>
      </c>
      <c r="H327" s="5">
        <f t="shared" si="34"/>
        <v>0</v>
      </c>
      <c r="I327" s="7">
        <f t="shared" si="33"/>
        <v>0</v>
      </c>
    </row>
    <row r="328" spans="1:9" x14ac:dyDescent="0.3">
      <c r="A328">
        <v>484.46899999999999</v>
      </c>
      <c r="B328" s="3">
        <f>A328/$A$202</f>
        <v>1.6300013458044544</v>
      </c>
      <c r="C328">
        <v>1.01407</v>
      </c>
      <c r="D328" s="4">
        <f t="shared" si="30"/>
        <v>101.407</v>
      </c>
      <c r="E328" s="4">
        <f t="shared" si="31"/>
        <v>0</v>
      </c>
      <c r="F328" s="4">
        <f t="shared" si="32"/>
        <v>0</v>
      </c>
      <c r="G328" s="6">
        <f t="shared" si="35"/>
        <v>0</v>
      </c>
      <c r="H328" s="5">
        <f t="shared" si="34"/>
        <v>0</v>
      </c>
      <c r="I328" s="7">
        <f t="shared" si="33"/>
        <v>0</v>
      </c>
    </row>
    <row r="329" spans="1:9" x14ac:dyDescent="0.3">
      <c r="A329">
        <v>485.95499999999998</v>
      </c>
      <c r="B329" s="3">
        <f>A329/$A$202</f>
        <v>1.6350010093533407</v>
      </c>
      <c r="C329">
        <v>1.01407</v>
      </c>
      <c r="D329" s="4">
        <f t="shared" si="30"/>
        <v>101.407</v>
      </c>
      <c r="E329" s="4">
        <f t="shared" si="31"/>
        <v>0</v>
      </c>
      <c r="F329" s="4">
        <f t="shared" si="32"/>
        <v>0</v>
      </c>
      <c r="G329" s="6">
        <f t="shared" si="35"/>
        <v>0</v>
      </c>
      <c r="H329" s="5">
        <f t="shared" si="34"/>
        <v>0</v>
      </c>
      <c r="I329" s="7">
        <f t="shared" si="33"/>
        <v>0</v>
      </c>
    </row>
    <row r="330" spans="1:9" x14ac:dyDescent="0.3">
      <c r="A330">
        <v>487.44099999999997</v>
      </c>
      <c r="B330" s="3">
        <f>A330/$A$202</f>
        <v>1.6400006729022272</v>
      </c>
      <c r="C330">
        <v>1.01407</v>
      </c>
      <c r="D330" s="4">
        <f t="shared" si="30"/>
        <v>101.407</v>
      </c>
      <c r="E330" s="4">
        <f t="shared" si="31"/>
        <v>0</v>
      </c>
      <c r="F330" s="4">
        <f t="shared" si="32"/>
        <v>0</v>
      </c>
      <c r="G330" s="6">
        <f t="shared" si="35"/>
        <v>0</v>
      </c>
      <c r="H330" s="5">
        <f t="shared" si="34"/>
        <v>0</v>
      </c>
      <c r="I330" s="7">
        <f t="shared" si="33"/>
        <v>0</v>
      </c>
    </row>
    <row r="331" spans="1:9" x14ac:dyDescent="0.3">
      <c r="A331">
        <v>488.92700000000002</v>
      </c>
      <c r="B331" s="3">
        <f>A331/$A$202</f>
        <v>1.6450003364511137</v>
      </c>
      <c r="C331">
        <v>1.01407</v>
      </c>
      <c r="D331" s="4">
        <f t="shared" si="30"/>
        <v>101.407</v>
      </c>
      <c r="E331" s="4">
        <f t="shared" si="31"/>
        <v>0</v>
      </c>
      <c r="F331" s="4">
        <f t="shared" si="32"/>
        <v>0</v>
      </c>
      <c r="G331" s="6">
        <f t="shared" si="35"/>
        <v>0</v>
      </c>
      <c r="H331" s="5">
        <f t="shared" si="34"/>
        <v>0</v>
      </c>
      <c r="I331" s="7">
        <f t="shared" si="33"/>
        <v>0</v>
      </c>
    </row>
    <row r="332" spans="1:9" x14ac:dyDescent="0.3">
      <c r="A332">
        <v>490.41300000000001</v>
      </c>
      <c r="B332" s="3">
        <f>A332/$A$202</f>
        <v>1.65</v>
      </c>
      <c r="C332">
        <v>1.01407</v>
      </c>
      <c r="D332" s="4">
        <f t="shared" si="30"/>
        <v>101.407</v>
      </c>
      <c r="E332" s="4">
        <f t="shared" si="31"/>
        <v>0</v>
      </c>
      <c r="F332" s="4">
        <f t="shared" si="32"/>
        <v>0</v>
      </c>
      <c r="G332" s="6">
        <f t="shared" si="35"/>
        <v>0</v>
      </c>
      <c r="H332" s="5">
        <f t="shared" si="34"/>
        <v>0</v>
      </c>
      <c r="I332" s="7">
        <f t="shared" si="33"/>
        <v>0</v>
      </c>
    </row>
    <row r="333" spans="1:9" x14ac:dyDescent="0.3">
      <c r="A333">
        <v>491.899</v>
      </c>
      <c r="B333" s="3">
        <f>A333/$A$202</f>
        <v>1.6549996635488862</v>
      </c>
      <c r="C333">
        <v>1.01407</v>
      </c>
      <c r="D333" s="4">
        <f t="shared" si="30"/>
        <v>101.407</v>
      </c>
      <c r="E333" s="4">
        <f t="shared" si="31"/>
        <v>0</v>
      </c>
      <c r="F333" s="4">
        <f t="shared" si="32"/>
        <v>0</v>
      </c>
      <c r="G333" s="6">
        <f t="shared" si="35"/>
        <v>0</v>
      </c>
      <c r="H333" s="5">
        <f t="shared" si="34"/>
        <v>0</v>
      </c>
      <c r="I333" s="7">
        <f t="shared" si="33"/>
        <v>0</v>
      </c>
    </row>
    <row r="334" spans="1:9" x14ac:dyDescent="0.3">
      <c r="A334">
        <v>493.38499999999999</v>
      </c>
      <c r="B334" s="3">
        <f>A334/$A$202</f>
        <v>1.6599993270977724</v>
      </c>
      <c r="C334">
        <v>1.01407</v>
      </c>
      <c r="D334" s="4">
        <f t="shared" si="30"/>
        <v>101.407</v>
      </c>
      <c r="E334" s="4">
        <f t="shared" si="31"/>
        <v>0</v>
      </c>
      <c r="F334" s="4">
        <f t="shared" si="32"/>
        <v>0</v>
      </c>
      <c r="G334" s="6">
        <f t="shared" si="35"/>
        <v>0</v>
      </c>
      <c r="H334" s="5">
        <f t="shared" si="34"/>
        <v>0</v>
      </c>
      <c r="I334" s="7">
        <f t="shared" si="33"/>
        <v>0</v>
      </c>
    </row>
    <row r="335" spans="1:9" x14ac:dyDescent="0.3">
      <c r="A335">
        <v>494.87099999999998</v>
      </c>
      <c r="B335" s="3">
        <f>A335/$A$202</f>
        <v>1.6649989906466589</v>
      </c>
      <c r="C335">
        <v>1.01407</v>
      </c>
      <c r="D335" s="4">
        <f t="shared" si="30"/>
        <v>101.407</v>
      </c>
      <c r="E335" s="4">
        <f t="shared" si="31"/>
        <v>0</v>
      </c>
      <c r="F335" s="4">
        <f t="shared" si="32"/>
        <v>0</v>
      </c>
      <c r="G335" s="6">
        <f t="shared" si="35"/>
        <v>0</v>
      </c>
      <c r="H335" s="5">
        <f t="shared" si="34"/>
        <v>0</v>
      </c>
      <c r="I335" s="7">
        <f t="shared" si="33"/>
        <v>0</v>
      </c>
    </row>
    <row r="336" spans="1:9" x14ac:dyDescent="0.3">
      <c r="A336">
        <v>496.35700000000003</v>
      </c>
      <c r="B336" s="3">
        <f>A336/$A$202</f>
        <v>1.6699986541955454</v>
      </c>
      <c r="C336">
        <v>1.01407</v>
      </c>
      <c r="D336" s="4">
        <f t="shared" si="30"/>
        <v>101.407</v>
      </c>
      <c r="E336" s="4">
        <f t="shared" si="31"/>
        <v>0</v>
      </c>
      <c r="F336" s="4">
        <f t="shared" si="32"/>
        <v>0</v>
      </c>
      <c r="G336" s="6">
        <f t="shared" si="35"/>
        <v>0</v>
      </c>
      <c r="H336" s="5">
        <f t="shared" si="34"/>
        <v>0</v>
      </c>
      <c r="I336" s="7">
        <f t="shared" si="33"/>
        <v>0</v>
      </c>
    </row>
    <row r="337" spans="1:9" x14ac:dyDescent="0.3">
      <c r="A337">
        <v>497.84399999999999</v>
      </c>
      <c r="B337" s="3">
        <f>A337/$A$202</f>
        <v>1.675001682255568</v>
      </c>
      <c r="C337">
        <v>1.01407</v>
      </c>
      <c r="D337" s="4">
        <f t="shared" si="30"/>
        <v>101.407</v>
      </c>
      <c r="E337" s="4">
        <f t="shared" si="31"/>
        <v>0</v>
      </c>
      <c r="F337" s="4">
        <f t="shared" si="32"/>
        <v>0</v>
      </c>
      <c r="G337" s="6">
        <f t="shared" si="35"/>
        <v>0</v>
      </c>
      <c r="H337" s="5">
        <f t="shared" si="34"/>
        <v>0</v>
      </c>
      <c r="I337" s="7">
        <f t="shared" si="33"/>
        <v>0</v>
      </c>
    </row>
    <row r="338" spans="1:9" x14ac:dyDescent="0.3">
      <c r="A338">
        <v>499.33</v>
      </c>
      <c r="B338" s="3">
        <f>A338/$A$202</f>
        <v>1.6800013458044545</v>
      </c>
      <c r="C338">
        <v>1.01407</v>
      </c>
      <c r="D338" s="4">
        <f t="shared" si="30"/>
        <v>101.407</v>
      </c>
      <c r="E338" s="4">
        <f t="shared" si="31"/>
        <v>0</v>
      </c>
      <c r="F338" s="4">
        <f t="shared" si="32"/>
        <v>0</v>
      </c>
      <c r="G338" s="6">
        <f t="shared" si="35"/>
        <v>0</v>
      </c>
      <c r="H338" s="5">
        <f t="shared" si="34"/>
        <v>0</v>
      </c>
      <c r="I338" s="7">
        <f t="shared" si="33"/>
        <v>0</v>
      </c>
    </row>
    <row r="339" spans="1:9" x14ac:dyDescent="0.3">
      <c r="A339">
        <v>500.81599999999997</v>
      </c>
      <c r="B339" s="3">
        <f>A339/$A$202</f>
        <v>1.6850010093533407</v>
      </c>
      <c r="C339">
        <v>1.01407</v>
      </c>
      <c r="D339" s="4">
        <f t="shared" si="30"/>
        <v>101.407</v>
      </c>
      <c r="E339" s="4">
        <f t="shared" si="31"/>
        <v>0</v>
      </c>
      <c r="F339" s="4">
        <f t="shared" si="32"/>
        <v>0</v>
      </c>
      <c r="G339" s="6">
        <f t="shared" si="35"/>
        <v>0</v>
      </c>
      <c r="H339" s="5">
        <f t="shared" si="34"/>
        <v>0</v>
      </c>
      <c r="I339" s="7">
        <f t="shared" si="33"/>
        <v>0</v>
      </c>
    </row>
    <row r="340" spans="1:9" x14ac:dyDescent="0.3">
      <c r="A340">
        <v>502.30200000000002</v>
      </c>
      <c r="B340" s="3">
        <f>A340/$A$202</f>
        <v>1.6900006729022272</v>
      </c>
      <c r="C340">
        <v>1.01407</v>
      </c>
      <c r="D340" s="4">
        <f t="shared" si="30"/>
        <v>101.407</v>
      </c>
      <c r="E340" s="4">
        <f t="shared" si="31"/>
        <v>0</v>
      </c>
      <c r="F340" s="4">
        <f t="shared" si="32"/>
        <v>0</v>
      </c>
      <c r="G340" s="6">
        <f t="shared" si="35"/>
        <v>0</v>
      </c>
      <c r="H340" s="5">
        <f t="shared" si="34"/>
        <v>0</v>
      </c>
      <c r="I340" s="7">
        <f t="shared" si="33"/>
        <v>0</v>
      </c>
    </row>
    <row r="341" spans="1:9" x14ac:dyDescent="0.3">
      <c r="A341">
        <v>503.78800000000001</v>
      </c>
      <c r="B341" s="3">
        <f>A341/$A$202</f>
        <v>1.6950003364511135</v>
      </c>
      <c r="C341">
        <v>1.01407</v>
      </c>
      <c r="D341" s="4">
        <f t="shared" si="30"/>
        <v>101.407</v>
      </c>
      <c r="E341" s="4">
        <f t="shared" si="31"/>
        <v>0</v>
      </c>
      <c r="F341" s="4">
        <f t="shared" si="32"/>
        <v>0</v>
      </c>
      <c r="G341" s="6">
        <f t="shared" si="35"/>
        <v>0</v>
      </c>
      <c r="H341" s="5">
        <f t="shared" si="34"/>
        <v>0</v>
      </c>
      <c r="I341" s="7">
        <f t="shared" si="33"/>
        <v>0</v>
      </c>
    </row>
    <row r="342" spans="1:9" x14ac:dyDescent="0.3">
      <c r="A342">
        <v>505.274</v>
      </c>
      <c r="B342" s="3">
        <f>A342/$A$202</f>
        <v>1.7</v>
      </c>
      <c r="C342">
        <v>1.01407</v>
      </c>
      <c r="D342" s="4">
        <f t="shared" si="30"/>
        <v>101.407</v>
      </c>
      <c r="E342" s="4">
        <f t="shared" si="31"/>
        <v>0</v>
      </c>
      <c r="F342" s="4">
        <f t="shared" si="32"/>
        <v>0</v>
      </c>
      <c r="G342" s="6">
        <f t="shared" si="35"/>
        <v>0</v>
      </c>
      <c r="H342" s="5">
        <f t="shared" si="34"/>
        <v>0</v>
      </c>
      <c r="I342" s="7">
        <f t="shared" si="33"/>
        <v>0</v>
      </c>
    </row>
    <row r="343" spans="1:9" x14ac:dyDescent="0.3">
      <c r="A343">
        <v>506.76</v>
      </c>
      <c r="B343" s="3">
        <f>A343/$A$202</f>
        <v>1.7049996635488862</v>
      </c>
      <c r="C343">
        <v>1.01407</v>
      </c>
      <c r="D343" s="4">
        <f t="shared" si="30"/>
        <v>101.407</v>
      </c>
      <c r="E343" s="4">
        <f t="shared" si="31"/>
        <v>0</v>
      </c>
      <c r="F343" s="4">
        <f t="shared" si="32"/>
        <v>0</v>
      </c>
      <c r="G343" s="6">
        <f t="shared" si="35"/>
        <v>0</v>
      </c>
      <c r="H343" s="5">
        <f t="shared" si="34"/>
        <v>0</v>
      </c>
      <c r="I343" s="7">
        <f t="shared" si="33"/>
        <v>0</v>
      </c>
    </row>
    <row r="344" spans="1:9" x14ac:dyDescent="0.3">
      <c r="A344">
        <v>508.24599999999998</v>
      </c>
      <c r="B344" s="3">
        <f>A344/$A$202</f>
        <v>1.7099993270977725</v>
      </c>
      <c r="C344">
        <v>1.01407</v>
      </c>
      <c r="D344" s="4">
        <f t="shared" si="30"/>
        <v>101.407</v>
      </c>
      <c r="E344" s="4">
        <f t="shared" si="31"/>
        <v>0</v>
      </c>
      <c r="F344" s="4">
        <f t="shared" si="32"/>
        <v>0</v>
      </c>
      <c r="G344" s="6">
        <f t="shared" si="35"/>
        <v>0</v>
      </c>
      <c r="H344" s="5">
        <f t="shared" si="34"/>
        <v>0</v>
      </c>
      <c r="I344" s="7">
        <f t="shared" si="33"/>
        <v>0</v>
      </c>
    </row>
    <row r="345" spans="1:9" x14ac:dyDescent="0.3">
      <c r="A345">
        <v>509.73200000000003</v>
      </c>
      <c r="B345" s="3">
        <f>A345/$A$202</f>
        <v>1.7149989906466589</v>
      </c>
      <c r="C345">
        <v>1.01407</v>
      </c>
      <c r="D345" s="4">
        <f t="shared" si="30"/>
        <v>101.407</v>
      </c>
      <c r="E345" s="4">
        <f t="shared" si="31"/>
        <v>0</v>
      </c>
      <c r="F345" s="4">
        <f t="shared" si="32"/>
        <v>0</v>
      </c>
      <c r="G345" s="6">
        <f t="shared" si="35"/>
        <v>0</v>
      </c>
      <c r="H345" s="5">
        <f t="shared" si="34"/>
        <v>0</v>
      </c>
      <c r="I345" s="7">
        <f t="shared" si="33"/>
        <v>0</v>
      </c>
    </row>
    <row r="346" spans="1:9" x14ac:dyDescent="0.3">
      <c r="A346">
        <v>511.21800000000002</v>
      </c>
      <c r="B346" s="3">
        <f>A346/$A$202</f>
        <v>1.7199986541955452</v>
      </c>
      <c r="C346">
        <v>1.01407</v>
      </c>
      <c r="D346" s="4">
        <f t="shared" si="30"/>
        <v>101.407</v>
      </c>
      <c r="E346" s="4">
        <f t="shared" si="31"/>
        <v>0</v>
      </c>
      <c r="F346" s="4">
        <f t="shared" si="32"/>
        <v>0</v>
      </c>
      <c r="G346" s="6">
        <f t="shared" si="35"/>
        <v>0</v>
      </c>
      <c r="H346" s="5">
        <f t="shared" si="34"/>
        <v>0</v>
      </c>
      <c r="I346" s="7">
        <f t="shared" si="33"/>
        <v>0</v>
      </c>
    </row>
    <row r="347" spans="1:9" x14ac:dyDescent="0.3">
      <c r="A347">
        <v>512.70500000000004</v>
      </c>
      <c r="B347" s="3">
        <f>A347/$A$202</f>
        <v>1.7250016822555683</v>
      </c>
      <c r="C347">
        <v>1.01407</v>
      </c>
      <c r="D347" s="4">
        <f t="shared" si="30"/>
        <v>101.407</v>
      </c>
      <c r="E347" s="4">
        <f t="shared" si="31"/>
        <v>0</v>
      </c>
      <c r="F347" s="4">
        <f t="shared" si="32"/>
        <v>0</v>
      </c>
      <c r="G347" s="6">
        <f t="shared" si="35"/>
        <v>0</v>
      </c>
      <c r="H347" s="5">
        <f t="shared" si="34"/>
        <v>0</v>
      </c>
      <c r="I347" s="7">
        <f t="shared" si="33"/>
        <v>0</v>
      </c>
    </row>
    <row r="348" spans="1:9" x14ac:dyDescent="0.3">
      <c r="A348">
        <v>514.19100000000003</v>
      </c>
      <c r="B348" s="3">
        <f>A348/$A$202</f>
        <v>1.7300013458044545</v>
      </c>
      <c r="C348">
        <v>1.01407</v>
      </c>
      <c r="D348" s="4">
        <f t="shared" si="30"/>
        <v>101.407</v>
      </c>
      <c r="E348" s="4">
        <f t="shared" si="31"/>
        <v>0</v>
      </c>
      <c r="F348" s="4">
        <f t="shared" si="32"/>
        <v>0</v>
      </c>
      <c r="G348" s="6">
        <f t="shared" si="35"/>
        <v>0</v>
      </c>
      <c r="H348" s="5">
        <f t="shared" si="34"/>
        <v>0</v>
      </c>
      <c r="I348" s="7">
        <f t="shared" si="33"/>
        <v>0</v>
      </c>
    </row>
    <row r="349" spans="1:9" x14ac:dyDescent="0.3">
      <c r="A349">
        <v>515.67700000000002</v>
      </c>
      <c r="B349" s="3">
        <f>A349/$A$202</f>
        <v>1.7350010093533408</v>
      </c>
      <c r="C349">
        <v>1.01407</v>
      </c>
      <c r="D349" s="4">
        <f t="shared" si="30"/>
        <v>101.407</v>
      </c>
      <c r="E349" s="4">
        <f t="shared" si="31"/>
        <v>0</v>
      </c>
      <c r="F349" s="4">
        <f t="shared" si="32"/>
        <v>0</v>
      </c>
      <c r="G349" s="6">
        <f t="shared" si="35"/>
        <v>0</v>
      </c>
      <c r="H349" s="5">
        <f t="shared" si="34"/>
        <v>0</v>
      </c>
      <c r="I349" s="7">
        <f t="shared" si="33"/>
        <v>0</v>
      </c>
    </row>
    <row r="350" spans="1:9" x14ac:dyDescent="0.3">
      <c r="A350">
        <v>517.16300000000001</v>
      </c>
      <c r="B350" s="3">
        <f>A350/$A$202</f>
        <v>1.7400006729022273</v>
      </c>
      <c r="C350">
        <v>1.01407</v>
      </c>
      <c r="D350" s="4">
        <f t="shared" si="30"/>
        <v>101.407</v>
      </c>
      <c r="E350" s="4">
        <f t="shared" si="31"/>
        <v>0</v>
      </c>
      <c r="F350" s="4">
        <f t="shared" si="32"/>
        <v>0</v>
      </c>
      <c r="G350" s="6">
        <f t="shared" si="35"/>
        <v>0</v>
      </c>
      <c r="H350" s="5">
        <f t="shared" si="34"/>
        <v>0</v>
      </c>
      <c r="I350" s="7">
        <f t="shared" si="33"/>
        <v>0</v>
      </c>
    </row>
    <row r="351" spans="1:9" x14ac:dyDescent="0.3">
      <c r="A351">
        <v>518.649</v>
      </c>
      <c r="B351" s="3">
        <f>A351/$A$202</f>
        <v>1.7450003364511135</v>
      </c>
      <c r="C351">
        <v>1.01407</v>
      </c>
      <c r="D351" s="4">
        <f t="shared" si="30"/>
        <v>101.407</v>
      </c>
      <c r="E351" s="4">
        <f t="shared" si="31"/>
        <v>0</v>
      </c>
      <c r="F351" s="4">
        <f t="shared" si="32"/>
        <v>0</v>
      </c>
      <c r="G351" s="6">
        <f t="shared" si="35"/>
        <v>0</v>
      </c>
      <c r="H351" s="5">
        <f t="shared" si="34"/>
        <v>0</v>
      </c>
      <c r="I351" s="7">
        <f t="shared" si="33"/>
        <v>0</v>
      </c>
    </row>
    <row r="352" spans="1:9" x14ac:dyDescent="0.3">
      <c r="A352">
        <v>520.13499999999999</v>
      </c>
      <c r="B352" s="3">
        <f>A352/$A$202</f>
        <v>1.7499999999999998</v>
      </c>
      <c r="C352">
        <v>1.01407</v>
      </c>
      <c r="D352" s="4">
        <f t="shared" si="30"/>
        <v>101.407</v>
      </c>
      <c r="E352" s="4">
        <f t="shared" si="31"/>
        <v>0</v>
      </c>
      <c r="F352" s="4">
        <f t="shared" si="32"/>
        <v>0</v>
      </c>
      <c r="G352" s="6">
        <f t="shared" si="35"/>
        <v>0</v>
      </c>
      <c r="H352" s="5">
        <f t="shared" si="34"/>
        <v>0</v>
      </c>
      <c r="I352" s="7">
        <f t="shared" si="33"/>
        <v>0</v>
      </c>
    </row>
    <row r="353" spans="1:9" x14ac:dyDescent="0.3">
      <c r="A353">
        <v>521.62099999999998</v>
      </c>
      <c r="B353" s="3">
        <f>A353/$A$202</f>
        <v>1.754999663548886</v>
      </c>
      <c r="C353">
        <v>1.01407</v>
      </c>
      <c r="D353" s="4">
        <f t="shared" si="30"/>
        <v>101.407</v>
      </c>
      <c r="E353" s="4">
        <f t="shared" si="31"/>
        <v>0</v>
      </c>
      <c r="F353" s="4">
        <f t="shared" si="32"/>
        <v>0</v>
      </c>
      <c r="G353" s="6">
        <f t="shared" si="35"/>
        <v>0</v>
      </c>
      <c r="H353" s="5">
        <f t="shared" si="34"/>
        <v>0</v>
      </c>
      <c r="I353" s="7">
        <f t="shared" si="33"/>
        <v>0</v>
      </c>
    </row>
    <row r="354" spans="1:9" x14ac:dyDescent="0.3">
      <c r="A354">
        <v>523.10699999999997</v>
      </c>
      <c r="B354" s="3">
        <f>A354/$A$202</f>
        <v>1.7599993270977725</v>
      </c>
      <c r="C354">
        <v>1.01407</v>
      </c>
      <c r="D354" s="4">
        <f t="shared" si="30"/>
        <v>101.407</v>
      </c>
      <c r="E354" s="4">
        <f t="shared" si="31"/>
        <v>0</v>
      </c>
      <c r="F354" s="4">
        <f t="shared" si="32"/>
        <v>0</v>
      </c>
      <c r="G354" s="6">
        <f t="shared" si="35"/>
        <v>0</v>
      </c>
      <c r="H354" s="5">
        <f t="shared" si="34"/>
        <v>0</v>
      </c>
      <c r="I354" s="7">
        <f t="shared" si="33"/>
        <v>0</v>
      </c>
    </row>
    <row r="355" spans="1:9" x14ac:dyDescent="0.3">
      <c r="A355">
        <v>524.59299999999996</v>
      </c>
      <c r="B355" s="3">
        <f>A355/$A$202</f>
        <v>1.7649989906466588</v>
      </c>
      <c r="C355">
        <v>1.01407</v>
      </c>
      <c r="D355" s="4">
        <f t="shared" si="30"/>
        <v>101.407</v>
      </c>
      <c r="E355" s="4">
        <f t="shared" si="31"/>
        <v>0</v>
      </c>
      <c r="F355" s="4">
        <f t="shared" si="32"/>
        <v>0</v>
      </c>
      <c r="G355" s="6">
        <f t="shared" si="35"/>
        <v>0</v>
      </c>
      <c r="H355" s="5">
        <f t="shared" si="34"/>
        <v>0</v>
      </c>
      <c r="I355" s="7">
        <f t="shared" si="33"/>
        <v>0</v>
      </c>
    </row>
    <row r="356" spans="1:9" x14ac:dyDescent="0.3">
      <c r="A356">
        <v>526.07899999999995</v>
      </c>
      <c r="B356" s="3">
        <f>A356/$A$202</f>
        <v>1.769998654195545</v>
      </c>
      <c r="C356">
        <v>1.01407</v>
      </c>
      <c r="D356" s="4">
        <f t="shared" si="30"/>
        <v>101.407</v>
      </c>
      <c r="E356" s="4">
        <f t="shared" si="31"/>
        <v>0</v>
      </c>
      <c r="F356" s="4">
        <f t="shared" si="32"/>
        <v>0</v>
      </c>
      <c r="G356" s="6">
        <f t="shared" si="35"/>
        <v>0</v>
      </c>
      <c r="H356" s="5">
        <f t="shared" si="34"/>
        <v>0</v>
      </c>
      <c r="I356" s="7">
        <f t="shared" si="33"/>
        <v>0</v>
      </c>
    </row>
    <row r="357" spans="1:9" x14ac:dyDescent="0.3">
      <c r="A357">
        <v>527.56600000000003</v>
      </c>
      <c r="B357" s="3">
        <f>A357/$A$202</f>
        <v>1.7750016822555683</v>
      </c>
      <c r="C357">
        <v>1.01407</v>
      </c>
      <c r="D357" s="4">
        <f t="shared" si="30"/>
        <v>101.407</v>
      </c>
      <c r="E357" s="4">
        <f t="shared" si="31"/>
        <v>0</v>
      </c>
      <c r="F357" s="4">
        <f t="shared" si="32"/>
        <v>0</v>
      </c>
      <c r="G357" s="6">
        <f t="shared" si="35"/>
        <v>0</v>
      </c>
      <c r="H357" s="5">
        <f t="shared" si="34"/>
        <v>0</v>
      </c>
      <c r="I357" s="7">
        <f t="shared" si="33"/>
        <v>0</v>
      </c>
    </row>
    <row r="358" spans="1:9" x14ac:dyDescent="0.3">
      <c r="A358">
        <v>529.05200000000002</v>
      </c>
      <c r="B358" s="3">
        <f>A358/$A$202</f>
        <v>1.7800013458044546</v>
      </c>
      <c r="C358">
        <v>1.01407</v>
      </c>
      <c r="D358" s="4">
        <f t="shared" si="30"/>
        <v>101.407</v>
      </c>
      <c r="E358" s="4">
        <f t="shared" si="31"/>
        <v>0</v>
      </c>
      <c r="F358" s="4">
        <f t="shared" si="32"/>
        <v>0</v>
      </c>
      <c r="G358" s="6">
        <f t="shared" si="35"/>
        <v>0</v>
      </c>
      <c r="H358" s="5">
        <f t="shared" si="34"/>
        <v>0</v>
      </c>
      <c r="I358" s="7">
        <f t="shared" si="33"/>
        <v>0</v>
      </c>
    </row>
    <row r="359" spans="1:9" x14ac:dyDescent="0.3">
      <c r="A359">
        <v>530.53800000000001</v>
      </c>
      <c r="B359" s="3">
        <f>A359/$A$202</f>
        <v>1.7850010093533408</v>
      </c>
      <c r="C359">
        <v>1.01407</v>
      </c>
      <c r="D359" s="4">
        <f t="shared" si="30"/>
        <v>101.407</v>
      </c>
      <c r="E359" s="4">
        <f t="shared" si="31"/>
        <v>0</v>
      </c>
      <c r="F359" s="4">
        <f t="shared" si="32"/>
        <v>0</v>
      </c>
      <c r="G359" s="6">
        <f t="shared" si="35"/>
        <v>0</v>
      </c>
      <c r="H359" s="5">
        <f t="shared" si="34"/>
        <v>0</v>
      </c>
      <c r="I359" s="7">
        <f t="shared" si="33"/>
        <v>0</v>
      </c>
    </row>
    <row r="360" spans="1:9" x14ac:dyDescent="0.3">
      <c r="A360">
        <v>532.024</v>
      </c>
      <c r="B360" s="3">
        <f>A360/$A$202</f>
        <v>1.7900006729022271</v>
      </c>
      <c r="C360">
        <v>1.01407</v>
      </c>
      <c r="D360" s="4">
        <f t="shared" si="30"/>
        <v>101.407</v>
      </c>
      <c r="E360" s="4">
        <f t="shared" si="31"/>
        <v>0</v>
      </c>
      <c r="F360" s="4">
        <f t="shared" si="32"/>
        <v>0</v>
      </c>
      <c r="G360" s="6">
        <f t="shared" si="35"/>
        <v>0</v>
      </c>
      <c r="H360" s="5">
        <f t="shared" si="34"/>
        <v>0</v>
      </c>
      <c r="I360" s="7">
        <f t="shared" si="33"/>
        <v>0</v>
      </c>
    </row>
    <row r="361" spans="1:9" x14ac:dyDescent="0.3">
      <c r="A361">
        <v>533.51</v>
      </c>
      <c r="B361" s="3">
        <f>A361/$A$202</f>
        <v>1.7950003364511136</v>
      </c>
      <c r="C361">
        <v>1.01407</v>
      </c>
      <c r="D361" s="4">
        <f t="shared" si="30"/>
        <v>101.407</v>
      </c>
      <c r="E361" s="4">
        <f t="shared" si="31"/>
        <v>0</v>
      </c>
      <c r="F361" s="4">
        <f t="shared" si="32"/>
        <v>0</v>
      </c>
      <c r="G361" s="6">
        <f t="shared" si="35"/>
        <v>0</v>
      </c>
      <c r="H361" s="5">
        <f t="shared" si="34"/>
        <v>0</v>
      </c>
      <c r="I361" s="7">
        <f t="shared" si="33"/>
        <v>0</v>
      </c>
    </row>
    <row r="362" spans="1:9" x14ac:dyDescent="0.3">
      <c r="A362">
        <v>534.99599999999998</v>
      </c>
      <c r="B362" s="3">
        <f>A362/$A$202</f>
        <v>1.7999999999999998</v>
      </c>
      <c r="C362">
        <v>1.01407</v>
      </c>
      <c r="D362" s="4">
        <f t="shared" si="30"/>
        <v>101.407</v>
      </c>
      <c r="E362" s="4">
        <f t="shared" si="31"/>
        <v>0</v>
      </c>
      <c r="F362" s="4">
        <f t="shared" si="32"/>
        <v>0</v>
      </c>
      <c r="G362" s="6">
        <f t="shared" si="35"/>
        <v>0</v>
      </c>
      <c r="H362" s="5">
        <f t="shared" si="34"/>
        <v>0</v>
      </c>
      <c r="I362" s="7">
        <f t="shared" si="33"/>
        <v>0</v>
      </c>
    </row>
    <row r="363" spans="1:9" x14ac:dyDescent="0.3">
      <c r="A363">
        <v>536.48199999999997</v>
      </c>
      <c r="B363" s="3">
        <f>A363/$A$202</f>
        <v>1.8049996635488861</v>
      </c>
      <c r="C363">
        <v>1.01407</v>
      </c>
      <c r="D363" s="4">
        <f t="shared" si="30"/>
        <v>101.407</v>
      </c>
      <c r="E363" s="4">
        <f t="shared" si="31"/>
        <v>0</v>
      </c>
      <c r="F363" s="4">
        <f t="shared" si="32"/>
        <v>0</v>
      </c>
      <c r="G363" s="6">
        <f t="shared" si="35"/>
        <v>0</v>
      </c>
      <c r="H363" s="5">
        <f t="shared" si="34"/>
        <v>0</v>
      </c>
      <c r="I363" s="7">
        <f t="shared" si="33"/>
        <v>0</v>
      </c>
    </row>
    <row r="364" spans="1:9" x14ac:dyDescent="0.3">
      <c r="A364">
        <v>537.96799999999996</v>
      </c>
      <c r="B364" s="3">
        <f>A364/$A$202</f>
        <v>1.8099993270977723</v>
      </c>
      <c r="C364">
        <v>1.01407</v>
      </c>
      <c r="D364" s="4">
        <f t="shared" si="30"/>
        <v>101.407</v>
      </c>
      <c r="E364" s="4">
        <f t="shared" si="31"/>
        <v>0</v>
      </c>
      <c r="F364" s="4">
        <f t="shared" si="32"/>
        <v>0</v>
      </c>
      <c r="G364" s="6">
        <f t="shared" si="35"/>
        <v>0</v>
      </c>
      <c r="H364" s="5">
        <f t="shared" si="34"/>
        <v>0</v>
      </c>
      <c r="I364" s="7">
        <f t="shared" si="33"/>
        <v>0</v>
      </c>
    </row>
    <row r="365" spans="1:9" x14ac:dyDescent="0.3">
      <c r="A365">
        <v>539.45399999999995</v>
      </c>
      <c r="B365" s="3">
        <f>A365/$A$202</f>
        <v>1.8149989906466588</v>
      </c>
      <c r="C365">
        <v>1.01407</v>
      </c>
      <c r="D365" s="4">
        <f t="shared" si="30"/>
        <v>101.407</v>
      </c>
      <c r="E365" s="4">
        <f t="shared" si="31"/>
        <v>0</v>
      </c>
      <c r="F365" s="4">
        <f t="shared" si="32"/>
        <v>0</v>
      </c>
      <c r="G365" s="6">
        <f t="shared" si="35"/>
        <v>0</v>
      </c>
      <c r="H365" s="5">
        <f t="shared" si="34"/>
        <v>0</v>
      </c>
      <c r="I365" s="7">
        <f t="shared" si="33"/>
        <v>0</v>
      </c>
    </row>
    <row r="366" spans="1:9" x14ac:dyDescent="0.3">
      <c r="A366">
        <v>540.94000000000005</v>
      </c>
      <c r="B366" s="3">
        <f>A366/$A$202</f>
        <v>1.8199986541955453</v>
      </c>
      <c r="C366">
        <v>1.01407</v>
      </c>
      <c r="D366" s="4">
        <f t="shared" si="30"/>
        <v>101.407</v>
      </c>
      <c r="E366" s="4">
        <f t="shared" si="31"/>
        <v>0</v>
      </c>
      <c r="F366" s="4">
        <f t="shared" si="32"/>
        <v>0</v>
      </c>
      <c r="G366" s="6">
        <f t="shared" si="35"/>
        <v>0</v>
      </c>
      <c r="H366" s="5">
        <f t="shared" si="34"/>
        <v>0</v>
      </c>
      <c r="I366" s="7">
        <f t="shared" si="33"/>
        <v>0</v>
      </c>
    </row>
    <row r="367" spans="1:9" x14ac:dyDescent="0.3">
      <c r="A367">
        <v>542.42700000000002</v>
      </c>
      <c r="B367" s="3">
        <f>A367/$A$202</f>
        <v>1.8250016822555681</v>
      </c>
      <c r="C367">
        <v>1.01407</v>
      </c>
      <c r="D367" s="4">
        <f t="shared" si="30"/>
        <v>101.407</v>
      </c>
      <c r="E367" s="4">
        <f t="shared" si="31"/>
        <v>0</v>
      </c>
      <c r="F367" s="4">
        <f t="shared" si="32"/>
        <v>0</v>
      </c>
      <c r="G367" s="6">
        <f t="shared" si="35"/>
        <v>0</v>
      </c>
      <c r="H367" s="5">
        <f t="shared" si="34"/>
        <v>0</v>
      </c>
      <c r="I367" s="7">
        <f t="shared" si="33"/>
        <v>0</v>
      </c>
    </row>
    <row r="368" spans="1:9" x14ac:dyDescent="0.3">
      <c r="A368">
        <v>543.91300000000001</v>
      </c>
      <c r="B368" s="3">
        <f>A368/$A$202</f>
        <v>1.8300013458044544</v>
      </c>
      <c r="C368">
        <v>1.01407</v>
      </c>
      <c r="D368" s="4">
        <f t="shared" si="30"/>
        <v>101.407</v>
      </c>
      <c r="E368" s="4">
        <f t="shared" si="31"/>
        <v>0</v>
      </c>
      <c r="F368" s="4">
        <f t="shared" si="32"/>
        <v>0</v>
      </c>
      <c r="G368" s="6">
        <f t="shared" si="35"/>
        <v>0</v>
      </c>
      <c r="H368" s="5">
        <f t="shared" si="34"/>
        <v>0</v>
      </c>
      <c r="I368" s="7">
        <f t="shared" si="33"/>
        <v>0</v>
      </c>
    </row>
    <row r="369" spans="1:9" x14ac:dyDescent="0.3">
      <c r="A369">
        <v>545.399</v>
      </c>
      <c r="B369" s="3">
        <f>A369/$A$202</f>
        <v>1.8350010093533409</v>
      </c>
      <c r="C369">
        <v>1.01407</v>
      </c>
      <c r="D369" s="4">
        <f t="shared" si="30"/>
        <v>101.407</v>
      </c>
      <c r="E369" s="4">
        <f t="shared" si="31"/>
        <v>0</v>
      </c>
      <c r="F369" s="4">
        <f t="shared" si="32"/>
        <v>0</v>
      </c>
      <c r="G369" s="6">
        <f t="shared" si="35"/>
        <v>0</v>
      </c>
      <c r="H369" s="5">
        <f t="shared" si="34"/>
        <v>0</v>
      </c>
      <c r="I369" s="7">
        <f t="shared" si="33"/>
        <v>0</v>
      </c>
    </row>
    <row r="370" spans="1:9" x14ac:dyDescent="0.3">
      <c r="A370">
        <v>546.88499999999999</v>
      </c>
      <c r="B370" s="3">
        <f>A370/$A$202</f>
        <v>1.8400006729022271</v>
      </c>
      <c r="C370">
        <v>1.01407</v>
      </c>
      <c r="D370" s="4">
        <f t="shared" si="30"/>
        <v>101.407</v>
      </c>
      <c r="E370" s="4">
        <f t="shared" si="31"/>
        <v>0</v>
      </c>
      <c r="F370" s="4">
        <f t="shared" si="32"/>
        <v>0</v>
      </c>
      <c r="G370" s="6">
        <f t="shared" si="35"/>
        <v>0</v>
      </c>
      <c r="H370" s="5">
        <f t="shared" si="34"/>
        <v>0</v>
      </c>
      <c r="I370" s="7">
        <f t="shared" si="33"/>
        <v>0</v>
      </c>
    </row>
    <row r="371" spans="1:9" x14ac:dyDescent="0.3">
      <c r="A371">
        <v>548.37099999999998</v>
      </c>
      <c r="B371" s="3">
        <f>A371/$A$202</f>
        <v>1.8450003364511134</v>
      </c>
      <c r="C371">
        <v>1.01407</v>
      </c>
      <c r="D371" s="4">
        <f t="shared" si="30"/>
        <v>101.407</v>
      </c>
      <c r="E371" s="4">
        <f t="shared" si="31"/>
        <v>0</v>
      </c>
      <c r="F371" s="4">
        <f t="shared" si="32"/>
        <v>0</v>
      </c>
      <c r="G371" s="6">
        <f t="shared" si="35"/>
        <v>0</v>
      </c>
      <c r="H371" s="5">
        <f t="shared" si="34"/>
        <v>0</v>
      </c>
      <c r="I371" s="7">
        <f t="shared" si="33"/>
        <v>0</v>
      </c>
    </row>
    <row r="372" spans="1:9" x14ac:dyDescent="0.3">
      <c r="A372">
        <v>549.85699999999997</v>
      </c>
      <c r="B372" s="3">
        <f>A372/$A$202</f>
        <v>1.8499999999999996</v>
      </c>
      <c r="C372">
        <v>1.01407</v>
      </c>
      <c r="D372" s="4">
        <f t="shared" si="30"/>
        <v>101.407</v>
      </c>
      <c r="E372" s="4">
        <f t="shared" si="31"/>
        <v>0</v>
      </c>
      <c r="F372" s="4">
        <f t="shared" si="32"/>
        <v>0</v>
      </c>
      <c r="G372" s="6">
        <f t="shared" si="35"/>
        <v>0</v>
      </c>
      <c r="H372" s="5">
        <f t="shared" si="34"/>
        <v>0</v>
      </c>
      <c r="I372" s="7">
        <f t="shared" si="33"/>
        <v>0</v>
      </c>
    </row>
    <row r="373" spans="1:9" x14ac:dyDescent="0.3">
      <c r="A373">
        <v>551.34299999999996</v>
      </c>
      <c r="B373" s="3">
        <f>A373/$A$202</f>
        <v>1.8549996635488861</v>
      </c>
      <c r="C373">
        <v>1.01407</v>
      </c>
      <c r="D373" s="4">
        <f t="shared" si="30"/>
        <v>101.407</v>
      </c>
      <c r="E373" s="4">
        <f t="shared" si="31"/>
        <v>0</v>
      </c>
      <c r="F373" s="4">
        <f t="shared" si="32"/>
        <v>0</v>
      </c>
      <c r="G373" s="6">
        <f t="shared" si="35"/>
        <v>0</v>
      </c>
      <c r="H373" s="5">
        <f t="shared" si="34"/>
        <v>0</v>
      </c>
      <c r="I373" s="7">
        <f t="shared" si="33"/>
        <v>0</v>
      </c>
    </row>
    <row r="374" spans="1:9" x14ac:dyDescent="0.3">
      <c r="A374">
        <v>552.82899999999995</v>
      </c>
      <c r="B374" s="3">
        <f>A374/$A$202</f>
        <v>1.8599993270977724</v>
      </c>
      <c r="C374">
        <v>1.01407</v>
      </c>
      <c r="D374" s="4">
        <f t="shared" si="30"/>
        <v>101.407</v>
      </c>
      <c r="E374" s="4">
        <f t="shared" si="31"/>
        <v>0</v>
      </c>
      <c r="F374" s="4">
        <f t="shared" si="32"/>
        <v>0</v>
      </c>
      <c r="G374" s="6">
        <f t="shared" si="35"/>
        <v>0</v>
      </c>
      <c r="H374" s="5">
        <f t="shared" si="34"/>
        <v>0</v>
      </c>
      <c r="I374" s="7">
        <f t="shared" si="33"/>
        <v>0</v>
      </c>
    </row>
    <row r="375" spans="1:9" x14ac:dyDescent="0.3">
      <c r="A375">
        <v>554.31500000000005</v>
      </c>
      <c r="B375" s="3">
        <f>A375/$A$202</f>
        <v>1.8649989906466591</v>
      </c>
      <c r="C375">
        <v>1.01407</v>
      </c>
      <c r="D375" s="4">
        <f t="shared" si="30"/>
        <v>101.407</v>
      </c>
      <c r="E375" s="4">
        <f t="shared" si="31"/>
        <v>0</v>
      </c>
      <c r="F375" s="4">
        <f t="shared" si="32"/>
        <v>0</v>
      </c>
      <c r="G375" s="6">
        <f t="shared" si="35"/>
        <v>0</v>
      </c>
      <c r="H375" s="5">
        <f t="shared" si="34"/>
        <v>0</v>
      </c>
      <c r="I375" s="7">
        <f t="shared" si="33"/>
        <v>0</v>
      </c>
    </row>
    <row r="376" spans="1:9" x14ac:dyDescent="0.3">
      <c r="A376">
        <v>555.80100000000004</v>
      </c>
      <c r="B376" s="3">
        <f>A376/$A$202</f>
        <v>1.8699986541955453</v>
      </c>
      <c r="C376">
        <v>1.01407</v>
      </c>
      <c r="D376" s="4">
        <f t="shared" si="30"/>
        <v>101.407</v>
      </c>
      <c r="E376" s="4">
        <f t="shared" si="31"/>
        <v>0</v>
      </c>
      <c r="F376" s="4">
        <f t="shared" si="32"/>
        <v>0</v>
      </c>
      <c r="G376" s="6">
        <f t="shared" si="35"/>
        <v>0</v>
      </c>
      <c r="H376" s="5">
        <f t="shared" si="34"/>
        <v>0</v>
      </c>
      <c r="I376" s="7">
        <f t="shared" si="33"/>
        <v>0</v>
      </c>
    </row>
    <row r="377" spans="1:9" x14ac:dyDescent="0.3">
      <c r="A377">
        <v>557.28800000000001</v>
      </c>
      <c r="B377" s="3">
        <f>A377/$A$202</f>
        <v>1.8750016822555682</v>
      </c>
      <c r="C377">
        <v>1.01407</v>
      </c>
      <c r="D377" s="4">
        <f t="shared" si="30"/>
        <v>101.407</v>
      </c>
      <c r="E377" s="4">
        <f t="shared" si="31"/>
        <v>0</v>
      </c>
      <c r="F377" s="4">
        <f t="shared" si="32"/>
        <v>0</v>
      </c>
      <c r="G377" s="6">
        <f t="shared" si="35"/>
        <v>0</v>
      </c>
      <c r="H377" s="5">
        <f t="shared" si="34"/>
        <v>0</v>
      </c>
      <c r="I377" s="7">
        <f t="shared" si="33"/>
        <v>0</v>
      </c>
    </row>
    <row r="378" spans="1:9" x14ac:dyDescent="0.3">
      <c r="A378">
        <v>558.774</v>
      </c>
      <c r="B378" s="3">
        <f>A378/$A$202</f>
        <v>1.8800013458044544</v>
      </c>
      <c r="C378">
        <v>1.01407</v>
      </c>
      <c r="D378" s="4">
        <f t="shared" si="30"/>
        <v>101.407</v>
      </c>
      <c r="E378" s="4">
        <f t="shared" si="31"/>
        <v>0</v>
      </c>
      <c r="F378" s="4">
        <f t="shared" si="32"/>
        <v>0</v>
      </c>
      <c r="G378" s="6">
        <f t="shared" si="35"/>
        <v>0</v>
      </c>
      <c r="H378" s="5">
        <f t="shared" si="34"/>
        <v>0</v>
      </c>
      <c r="I378" s="7">
        <f t="shared" si="33"/>
        <v>0</v>
      </c>
    </row>
    <row r="379" spans="1:9" x14ac:dyDescent="0.3">
      <c r="A379">
        <v>560.26</v>
      </c>
      <c r="B379" s="3">
        <f>A379/$A$202</f>
        <v>1.8850010093533407</v>
      </c>
      <c r="C379">
        <v>1.01407</v>
      </c>
      <c r="D379" s="4">
        <f t="shared" si="30"/>
        <v>101.407</v>
      </c>
      <c r="E379" s="4">
        <f t="shared" si="31"/>
        <v>0</v>
      </c>
      <c r="F379" s="4">
        <f t="shared" si="32"/>
        <v>0</v>
      </c>
      <c r="G379" s="6">
        <f t="shared" si="35"/>
        <v>0</v>
      </c>
      <c r="H379" s="5">
        <f t="shared" si="34"/>
        <v>0</v>
      </c>
      <c r="I379" s="7">
        <f t="shared" si="33"/>
        <v>0</v>
      </c>
    </row>
    <row r="380" spans="1:9" x14ac:dyDescent="0.3">
      <c r="A380">
        <v>561.74599999999998</v>
      </c>
      <c r="B380" s="3">
        <f>A380/$A$202</f>
        <v>1.8900006729022272</v>
      </c>
      <c r="C380">
        <v>1.01407</v>
      </c>
      <c r="D380" s="4">
        <f t="shared" si="30"/>
        <v>101.407</v>
      </c>
      <c r="E380" s="4">
        <f t="shared" si="31"/>
        <v>0</v>
      </c>
      <c r="F380" s="4">
        <f t="shared" si="32"/>
        <v>0</v>
      </c>
      <c r="G380" s="6">
        <f t="shared" si="35"/>
        <v>0</v>
      </c>
      <c r="H380" s="5">
        <f t="shared" si="34"/>
        <v>0</v>
      </c>
      <c r="I380" s="7">
        <f t="shared" si="33"/>
        <v>0</v>
      </c>
    </row>
    <row r="381" spans="1:9" x14ac:dyDescent="0.3">
      <c r="A381">
        <v>563.23199999999997</v>
      </c>
      <c r="B381" s="3">
        <f>A381/$A$202</f>
        <v>1.8950003364511134</v>
      </c>
      <c r="C381">
        <v>1.01407</v>
      </c>
      <c r="D381" s="4">
        <f t="shared" si="30"/>
        <v>101.407</v>
      </c>
      <c r="E381" s="4">
        <f t="shared" si="31"/>
        <v>0</v>
      </c>
      <c r="F381" s="4">
        <f t="shared" si="32"/>
        <v>0</v>
      </c>
      <c r="G381" s="6">
        <f t="shared" si="35"/>
        <v>0</v>
      </c>
      <c r="H381" s="5">
        <f t="shared" si="34"/>
        <v>0</v>
      </c>
      <c r="I381" s="7">
        <f t="shared" si="33"/>
        <v>0</v>
      </c>
    </row>
    <row r="382" spans="1:9" x14ac:dyDescent="0.3">
      <c r="A382">
        <v>564.71799999999996</v>
      </c>
      <c r="B382" s="3">
        <f>A382/$A$202</f>
        <v>1.8999999999999997</v>
      </c>
      <c r="C382">
        <v>1.01407</v>
      </c>
      <c r="D382" s="4">
        <f t="shared" si="30"/>
        <v>101.407</v>
      </c>
      <c r="E382" s="4">
        <f t="shared" si="31"/>
        <v>0</v>
      </c>
      <c r="F382" s="4">
        <f t="shared" si="32"/>
        <v>0</v>
      </c>
      <c r="G382" s="6">
        <f t="shared" si="35"/>
        <v>0</v>
      </c>
      <c r="H382" s="5">
        <f t="shared" si="34"/>
        <v>0</v>
      </c>
      <c r="I382" s="7">
        <f t="shared" si="33"/>
        <v>0</v>
      </c>
    </row>
    <row r="383" spans="1:9" x14ac:dyDescent="0.3">
      <c r="A383">
        <v>566.20399999999995</v>
      </c>
      <c r="B383" s="3">
        <f>A383/$A$202</f>
        <v>1.9049996635488859</v>
      </c>
      <c r="C383">
        <v>1.01407</v>
      </c>
      <c r="D383" s="4">
        <f t="shared" si="30"/>
        <v>101.407</v>
      </c>
      <c r="E383" s="4">
        <f t="shared" si="31"/>
        <v>0</v>
      </c>
      <c r="F383" s="4">
        <f t="shared" si="32"/>
        <v>0</v>
      </c>
      <c r="G383" s="6">
        <f t="shared" si="35"/>
        <v>0</v>
      </c>
      <c r="H383" s="5">
        <f t="shared" si="34"/>
        <v>0</v>
      </c>
      <c r="I383" s="7">
        <f t="shared" si="33"/>
        <v>0</v>
      </c>
    </row>
    <row r="384" spans="1:9" x14ac:dyDescent="0.3">
      <c r="A384">
        <v>567.69000000000005</v>
      </c>
      <c r="B384" s="3">
        <f>A384/$A$202</f>
        <v>1.9099993270977726</v>
      </c>
      <c r="C384">
        <v>1.01407</v>
      </c>
      <c r="D384" s="4">
        <f t="shared" si="30"/>
        <v>101.407</v>
      </c>
      <c r="E384" s="4">
        <f t="shared" si="31"/>
        <v>0</v>
      </c>
      <c r="F384" s="4">
        <f t="shared" si="32"/>
        <v>0</v>
      </c>
      <c r="G384" s="6">
        <f t="shared" si="35"/>
        <v>0</v>
      </c>
      <c r="H384" s="5">
        <f t="shared" si="34"/>
        <v>0</v>
      </c>
      <c r="I384" s="7">
        <f t="shared" si="33"/>
        <v>0</v>
      </c>
    </row>
    <row r="385" spans="1:9" x14ac:dyDescent="0.3">
      <c r="A385">
        <v>569.17600000000004</v>
      </c>
      <c r="B385" s="3">
        <f>A385/$A$202</f>
        <v>1.9149989906466589</v>
      </c>
      <c r="C385">
        <v>1.01407</v>
      </c>
      <c r="D385" s="4">
        <f t="shared" si="30"/>
        <v>101.407</v>
      </c>
      <c r="E385" s="4">
        <f t="shared" si="31"/>
        <v>0</v>
      </c>
      <c r="F385" s="4">
        <f t="shared" si="32"/>
        <v>0</v>
      </c>
      <c r="G385" s="6">
        <f t="shared" si="35"/>
        <v>0</v>
      </c>
      <c r="H385" s="5">
        <f t="shared" si="34"/>
        <v>0</v>
      </c>
      <c r="I385" s="7">
        <f t="shared" si="33"/>
        <v>0</v>
      </c>
    </row>
    <row r="386" spans="1:9" x14ac:dyDescent="0.3">
      <c r="A386">
        <v>570.66200000000003</v>
      </c>
      <c r="B386" s="3">
        <f>A386/$A$202</f>
        <v>1.9199986541955454</v>
      </c>
      <c r="C386">
        <v>1.01407</v>
      </c>
      <c r="D386" s="4">
        <f t="shared" si="30"/>
        <v>101.407</v>
      </c>
      <c r="E386" s="4">
        <f t="shared" si="31"/>
        <v>0</v>
      </c>
      <c r="F386" s="4">
        <f t="shared" si="32"/>
        <v>0</v>
      </c>
      <c r="G386" s="6">
        <f t="shared" si="35"/>
        <v>0</v>
      </c>
      <c r="H386" s="5">
        <f t="shared" si="34"/>
        <v>0</v>
      </c>
      <c r="I386" s="7">
        <f t="shared" si="33"/>
        <v>0</v>
      </c>
    </row>
    <row r="387" spans="1:9" x14ac:dyDescent="0.3">
      <c r="A387">
        <v>572.149</v>
      </c>
      <c r="B387" s="3">
        <f>A387/$A$202</f>
        <v>1.925001682255568</v>
      </c>
      <c r="C387">
        <v>1.01407</v>
      </c>
      <c r="D387" s="4">
        <f t="shared" ref="D387:D402" si="36">C387*100</f>
        <v>101.407</v>
      </c>
      <c r="E387" s="4">
        <f t="shared" si="31"/>
        <v>0</v>
      </c>
      <c r="F387" s="4">
        <f t="shared" si="32"/>
        <v>0</v>
      </c>
      <c r="G387" s="6">
        <f t="shared" si="35"/>
        <v>0</v>
      </c>
      <c r="H387" s="5">
        <f t="shared" si="34"/>
        <v>0</v>
      </c>
      <c r="I387" s="7">
        <f t="shared" si="33"/>
        <v>0</v>
      </c>
    </row>
    <row r="388" spans="1:9" x14ac:dyDescent="0.3">
      <c r="A388">
        <v>573.63499999999999</v>
      </c>
      <c r="B388" s="3">
        <f>A388/$A$202</f>
        <v>1.9300013458044545</v>
      </c>
      <c r="C388">
        <v>1.01407</v>
      </c>
      <c r="D388" s="4">
        <f t="shared" si="36"/>
        <v>101.407</v>
      </c>
      <c r="E388" s="4">
        <f t="shared" ref="E388:E402" si="37">(D389-D387)/(A389-A387)</f>
        <v>0</v>
      </c>
      <c r="F388" s="4">
        <f t="shared" ref="F388:F402" si="38">E388*0.01*A388*A388</f>
        <v>0</v>
      </c>
      <c r="G388" s="6">
        <f t="shared" si="35"/>
        <v>0</v>
      </c>
      <c r="H388" s="5">
        <f t="shared" si="34"/>
        <v>0</v>
      </c>
      <c r="I388" s="7">
        <f t="shared" ref="I388:I400" si="39">ROUND(H388,6)</f>
        <v>0</v>
      </c>
    </row>
    <row r="389" spans="1:9" x14ac:dyDescent="0.3">
      <c r="A389">
        <v>575.12099999999998</v>
      </c>
      <c r="B389" s="3">
        <f>A389/$A$202</f>
        <v>1.9350010093533407</v>
      </c>
      <c r="C389">
        <v>1.01407</v>
      </c>
      <c r="D389" s="4">
        <f t="shared" si="36"/>
        <v>101.407</v>
      </c>
      <c r="E389" s="4">
        <f t="shared" si="37"/>
        <v>0</v>
      </c>
      <c r="F389" s="4">
        <f t="shared" si="38"/>
        <v>0</v>
      </c>
      <c r="G389" s="6">
        <f t="shared" si="35"/>
        <v>0</v>
      </c>
      <c r="H389" s="5">
        <f t="shared" ref="H389:H400" si="40">G389*A389*0.01*A389</f>
        <v>0</v>
      </c>
      <c r="I389" s="7">
        <f t="shared" si="39"/>
        <v>0</v>
      </c>
    </row>
    <row r="390" spans="1:9" x14ac:dyDescent="0.3">
      <c r="A390">
        <v>576.60699999999997</v>
      </c>
      <c r="B390" s="3">
        <f>A390/$A$202</f>
        <v>1.940000672902227</v>
      </c>
      <c r="C390">
        <v>1.01407</v>
      </c>
      <c r="D390" s="4">
        <f t="shared" si="36"/>
        <v>101.407</v>
      </c>
      <c r="E390" s="4">
        <f t="shared" si="37"/>
        <v>0</v>
      </c>
      <c r="F390" s="4">
        <f t="shared" si="38"/>
        <v>0</v>
      </c>
      <c r="G390" s="6">
        <f t="shared" ref="G390:G400" si="41">(E391-E389)/(A391-A389)</f>
        <v>0</v>
      </c>
      <c r="H390" s="5">
        <f t="shared" si="40"/>
        <v>0</v>
      </c>
      <c r="I390" s="7">
        <f t="shared" si="39"/>
        <v>0</v>
      </c>
    </row>
    <row r="391" spans="1:9" x14ac:dyDescent="0.3">
      <c r="A391">
        <v>578.09299999999996</v>
      </c>
      <c r="B391" s="3">
        <f>A391/$A$202</f>
        <v>1.9450003364511133</v>
      </c>
      <c r="C391">
        <v>1.01407</v>
      </c>
      <c r="D391" s="4">
        <f t="shared" si="36"/>
        <v>101.407</v>
      </c>
      <c r="E391" s="4">
        <f t="shared" si="37"/>
        <v>0</v>
      </c>
      <c r="F391" s="4">
        <f t="shared" si="38"/>
        <v>0</v>
      </c>
      <c r="G391" s="6">
        <f t="shared" si="41"/>
        <v>0</v>
      </c>
      <c r="H391" s="5">
        <f t="shared" si="40"/>
        <v>0</v>
      </c>
      <c r="I391" s="7">
        <f t="shared" si="39"/>
        <v>0</v>
      </c>
    </row>
    <row r="392" spans="1:9" x14ac:dyDescent="0.3">
      <c r="A392">
        <v>579.57899999999995</v>
      </c>
      <c r="B392" s="3">
        <f>A392/$A$202</f>
        <v>1.9499999999999997</v>
      </c>
      <c r="C392">
        <v>1.01407</v>
      </c>
      <c r="D392" s="4">
        <f t="shared" si="36"/>
        <v>101.407</v>
      </c>
      <c r="E392" s="4">
        <f t="shared" si="37"/>
        <v>0</v>
      </c>
      <c r="F392" s="4">
        <f t="shared" si="38"/>
        <v>0</v>
      </c>
      <c r="G392" s="6">
        <f t="shared" si="41"/>
        <v>0</v>
      </c>
      <c r="H392" s="5">
        <f t="shared" si="40"/>
        <v>0</v>
      </c>
      <c r="I392" s="7">
        <f t="shared" si="39"/>
        <v>0</v>
      </c>
    </row>
    <row r="393" spans="1:9" x14ac:dyDescent="0.3">
      <c r="A393">
        <v>581.06500000000005</v>
      </c>
      <c r="B393" s="3">
        <f>A393/$A$202</f>
        <v>1.9549996635488864</v>
      </c>
      <c r="C393">
        <v>1.01407</v>
      </c>
      <c r="D393" s="4">
        <f t="shared" si="36"/>
        <v>101.407</v>
      </c>
      <c r="E393" s="4">
        <f t="shared" si="37"/>
        <v>0</v>
      </c>
      <c r="F393" s="4">
        <f t="shared" si="38"/>
        <v>0</v>
      </c>
      <c r="G393" s="6">
        <f t="shared" si="41"/>
        <v>0</v>
      </c>
      <c r="H393" s="5">
        <f t="shared" si="40"/>
        <v>0</v>
      </c>
      <c r="I393" s="7">
        <f t="shared" si="39"/>
        <v>0</v>
      </c>
    </row>
    <row r="394" spans="1:9" x14ac:dyDescent="0.3">
      <c r="A394">
        <v>582.55100000000004</v>
      </c>
      <c r="B394" s="3">
        <f>A394/$A$202</f>
        <v>1.9599993270977727</v>
      </c>
      <c r="C394">
        <v>1.01407</v>
      </c>
      <c r="D394" s="4">
        <f t="shared" si="36"/>
        <v>101.407</v>
      </c>
      <c r="E394" s="4">
        <f t="shared" si="37"/>
        <v>0</v>
      </c>
      <c r="F394" s="4">
        <f t="shared" si="38"/>
        <v>0</v>
      </c>
      <c r="G394" s="6">
        <f t="shared" si="41"/>
        <v>0</v>
      </c>
      <c r="H394" s="5">
        <f t="shared" si="40"/>
        <v>0</v>
      </c>
      <c r="I394" s="7">
        <f t="shared" si="39"/>
        <v>0</v>
      </c>
    </row>
    <row r="395" spans="1:9" x14ac:dyDescent="0.3">
      <c r="A395">
        <v>584.03700000000003</v>
      </c>
      <c r="B395" s="3">
        <f>A395/$A$202</f>
        <v>1.9649989906466589</v>
      </c>
      <c r="C395">
        <v>1.01407</v>
      </c>
      <c r="D395" s="4">
        <f t="shared" si="36"/>
        <v>101.407</v>
      </c>
      <c r="E395" s="4">
        <f t="shared" si="37"/>
        <v>0</v>
      </c>
      <c r="F395" s="4">
        <f t="shared" si="38"/>
        <v>0</v>
      </c>
      <c r="G395" s="6">
        <f t="shared" si="41"/>
        <v>0</v>
      </c>
      <c r="H395" s="5">
        <f t="shared" si="40"/>
        <v>0</v>
      </c>
      <c r="I395" s="7">
        <f t="shared" si="39"/>
        <v>0</v>
      </c>
    </row>
    <row r="396" spans="1:9" x14ac:dyDescent="0.3">
      <c r="A396">
        <v>585.52300000000002</v>
      </c>
      <c r="B396" s="3">
        <f>A396/$A$202</f>
        <v>1.9699986541955452</v>
      </c>
      <c r="C396">
        <v>1.01407</v>
      </c>
      <c r="D396" s="4">
        <f t="shared" si="36"/>
        <v>101.407</v>
      </c>
      <c r="E396" s="4">
        <f t="shared" si="37"/>
        <v>0</v>
      </c>
      <c r="F396" s="4">
        <f t="shared" si="38"/>
        <v>0</v>
      </c>
      <c r="G396" s="6">
        <f t="shared" si="41"/>
        <v>0</v>
      </c>
      <c r="H396" s="5">
        <f t="shared" si="40"/>
        <v>0</v>
      </c>
      <c r="I396" s="7">
        <f t="shared" si="39"/>
        <v>0</v>
      </c>
    </row>
    <row r="397" spans="1:9" x14ac:dyDescent="0.3">
      <c r="A397">
        <v>587.01</v>
      </c>
      <c r="B397" s="3">
        <f>A397/$A$202</f>
        <v>1.975001682255568</v>
      </c>
      <c r="C397">
        <v>1.01407</v>
      </c>
      <c r="D397" s="4">
        <f t="shared" si="36"/>
        <v>101.407</v>
      </c>
      <c r="E397" s="4">
        <f t="shared" si="37"/>
        <v>0</v>
      </c>
      <c r="F397" s="4">
        <f t="shared" si="38"/>
        <v>0</v>
      </c>
      <c r="G397" s="6">
        <f t="shared" si="41"/>
        <v>0</v>
      </c>
      <c r="H397" s="5">
        <f t="shared" si="40"/>
        <v>0</v>
      </c>
      <c r="I397" s="7">
        <f t="shared" si="39"/>
        <v>0</v>
      </c>
    </row>
    <row r="398" spans="1:9" x14ac:dyDescent="0.3">
      <c r="A398">
        <v>588.49599999999998</v>
      </c>
      <c r="B398" s="3">
        <f>A398/$A$202</f>
        <v>1.9800013458044543</v>
      </c>
      <c r="C398">
        <v>1.01407</v>
      </c>
      <c r="D398" s="4">
        <f t="shared" si="36"/>
        <v>101.407</v>
      </c>
      <c r="E398" s="4">
        <f t="shared" si="37"/>
        <v>0</v>
      </c>
      <c r="F398" s="4">
        <f t="shared" si="38"/>
        <v>0</v>
      </c>
      <c r="G398" s="6">
        <f t="shared" si="41"/>
        <v>0</v>
      </c>
      <c r="H398" s="5">
        <f t="shared" si="40"/>
        <v>0</v>
      </c>
      <c r="I398" s="7">
        <f t="shared" si="39"/>
        <v>0</v>
      </c>
    </row>
    <row r="399" spans="1:9" x14ac:dyDescent="0.3">
      <c r="A399">
        <v>589.98199999999997</v>
      </c>
      <c r="B399" s="3">
        <f>A399/$A$202</f>
        <v>1.9850010093533408</v>
      </c>
      <c r="C399">
        <v>1.01407</v>
      </c>
      <c r="D399" s="4">
        <f t="shared" si="36"/>
        <v>101.407</v>
      </c>
      <c r="E399" s="4">
        <f t="shared" si="37"/>
        <v>0</v>
      </c>
      <c r="F399" s="4">
        <f t="shared" si="38"/>
        <v>0</v>
      </c>
      <c r="G399" s="6">
        <f t="shared" si="41"/>
        <v>0</v>
      </c>
      <c r="H399" s="5">
        <f t="shared" si="40"/>
        <v>0</v>
      </c>
      <c r="I399" s="7">
        <f t="shared" si="39"/>
        <v>0</v>
      </c>
    </row>
    <row r="400" spans="1:9" x14ac:dyDescent="0.3">
      <c r="A400">
        <v>591.46799999999996</v>
      </c>
      <c r="B400" s="3">
        <f>A400/$A$202</f>
        <v>1.990000672902227</v>
      </c>
      <c r="C400">
        <v>1.01407</v>
      </c>
      <c r="D400" s="4">
        <f t="shared" si="36"/>
        <v>101.407</v>
      </c>
      <c r="E400" s="4">
        <f t="shared" si="37"/>
        <v>0</v>
      </c>
      <c r="F400" s="4">
        <f t="shared" si="38"/>
        <v>0</v>
      </c>
      <c r="G400" s="6">
        <f t="shared" si="41"/>
        <v>0</v>
      </c>
      <c r="H400" s="5">
        <f t="shared" si="40"/>
        <v>0</v>
      </c>
      <c r="I400" s="7">
        <f t="shared" si="39"/>
        <v>0</v>
      </c>
    </row>
    <row r="401" spans="1:9" x14ac:dyDescent="0.3">
      <c r="A401">
        <v>592.95399999999995</v>
      </c>
      <c r="B401" s="3">
        <f>A401/$A$202</f>
        <v>1.9950003364511133</v>
      </c>
      <c r="C401">
        <v>1.01407</v>
      </c>
      <c r="D401" s="4">
        <f t="shared" si="36"/>
        <v>101.407</v>
      </c>
      <c r="E401" s="4">
        <f t="shared" si="37"/>
        <v>0</v>
      </c>
      <c r="F401" s="4">
        <f t="shared" si="38"/>
        <v>0</v>
      </c>
      <c r="H401" s="5"/>
      <c r="I401" s="7"/>
    </row>
    <row r="402" spans="1:9" x14ac:dyDescent="0.3">
      <c r="A402">
        <v>594.44000000000005</v>
      </c>
      <c r="B402" s="3">
        <f>A402/$A$202</f>
        <v>2</v>
      </c>
      <c r="C402">
        <v>1.01407</v>
      </c>
      <c r="D402" s="4">
        <f t="shared" si="36"/>
        <v>101.407</v>
      </c>
      <c r="E402" s="4"/>
      <c r="F402" s="4"/>
      <c r="H402" s="4"/>
      <c r="I402" s="7"/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uold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jh700</dc:creator>
  <cp:lastModifiedBy>jh70035@gmail.com</cp:lastModifiedBy>
  <dcterms:created xsi:type="dcterms:W3CDTF">2020-01-03T02:24:41Z</dcterms:created>
  <dcterms:modified xsi:type="dcterms:W3CDTF">2020-01-03T02:24:41Z</dcterms:modified>
</cp:coreProperties>
</file>