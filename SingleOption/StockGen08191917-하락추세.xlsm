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820" yWindow="2490" windowWidth="17910" windowHeight="8385"/>
  </bookViews>
  <sheets>
    <sheet name="StockGen08191917-하락추세" sheetId="1" r:id="rId1"/>
  </sheets>
  <calcPr calcId="145621"/>
</workbook>
</file>

<file path=xl/calcChain.xml><?xml version="1.0" encoding="utf-8"?>
<calcChain xmlns="http://schemas.openxmlformats.org/spreadsheetml/2006/main">
  <c r="O2" i="1" l="1"/>
  <c r="O3" i="1"/>
  <c r="O4" i="1"/>
  <c r="O5" i="1"/>
  <c r="O6" i="1"/>
  <c r="O1" i="1"/>
  <c r="S2" i="1"/>
  <c r="S3" i="1"/>
  <c r="S4" i="1"/>
  <c r="S5" i="1"/>
  <c r="S6" i="1"/>
  <c r="S1" i="1"/>
  <c r="J2" i="1"/>
  <c r="J3" i="1"/>
  <c r="J1" i="1"/>
  <c r="H3" i="1"/>
  <c r="G3" i="1"/>
  <c r="H2" i="1"/>
  <c r="G2" i="1"/>
  <c r="D4" i="1" l="1"/>
  <c r="E4" i="1"/>
  <c r="D5" i="1"/>
  <c r="E5" i="1"/>
  <c r="D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D100" i="1"/>
  <c r="E100" i="1"/>
  <c r="D101" i="1"/>
  <c r="E101" i="1"/>
  <c r="D102" i="1"/>
  <c r="E102" i="1"/>
  <c r="D103" i="1"/>
  <c r="E103" i="1"/>
  <c r="D104" i="1"/>
  <c r="E104" i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D114" i="1"/>
  <c r="E114" i="1"/>
  <c r="D115" i="1"/>
  <c r="E115" i="1"/>
  <c r="D116" i="1"/>
  <c r="E116" i="1"/>
  <c r="D117" i="1"/>
  <c r="E117" i="1"/>
  <c r="D118" i="1"/>
  <c r="E118" i="1"/>
  <c r="D119" i="1"/>
  <c r="E119" i="1"/>
  <c r="D120" i="1"/>
  <c r="E120" i="1"/>
  <c r="D121" i="1"/>
  <c r="E121" i="1"/>
  <c r="D122" i="1"/>
  <c r="E122" i="1"/>
  <c r="D123" i="1"/>
  <c r="E123" i="1"/>
  <c r="D124" i="1"/>
  <c r="E124" i="1"/>
  <c r="D125" i="1"/>
  <c r="E125" i="1"/>
  <c r="D126" i="1"/>
  <c r="E126" i="1"/>
  <c r="D127" i="1"/>
  <c r="E127" i="1"/>
  <c r="D128" i="1"/>
  <c r="E128" i="1"/>
  <c r="D129" i="1"/>
  <c r="E129" i="1"/>
  <c r="D130" i="1"/>
  <c r="E130" i="1"/>
  <c r="D131" i="1"/>
  <c r="E131" i="1"/>
  <c r="D132" i="1"/>
  <c r="E132" i="1"/>
  <c r="D133" i="1"/>
  <c r="E133" i="1"/>
  <c r="D134" i="1"/>
  <c r="E134" i="1"/>
  <c r="D135" i="1"/>
  <c r="E135" i="1"/>
  <c r="D136" i="1"/>
  <c r="E136" i="1"/>
  <c r="D137" i="1"/>
  <c r="E137" i="1"/>
  <c r="D138" i="1"/>
  <c r="E138" i="1"/>
  <c r="D139" i="1"/>
  <c r="E139" i="1"/>
  <c r="D140" i="1"/>
  <c r="E140" i="1"/>
  <c r="D141" i="1"/>
  <c r="E141" i="1"/>
  <c r="D142" i="1"/>
  <c r="E142" i="1"/>
  <c r="D143" i="1"/>
  <c r="E143" i="1"/>
  <c r="D144" i="1"/>
  <c r="E144" i="1"/>
  <c r="D145" i="1"/>
  <c r="E145" i="1"/>
  <c r="D146" i="1"/>
  <c r="E146" i="1"/>
  <c r="D147" i="1"/>
  <c r="E147" i="1"/>
  <c r="D148" i="1"/>
  <c r="E148" i="1"/>
  <c r="D149" i="1"/>
  <c r="E149" i="1"/>
  <c r="D150" i="1"/>
  <c r="E150" i="1"/>
  <c r="D151" i="1"/>
  <c r="E151" i="1"/>
  <c r="D152" i="1"/>
  <c r="E152" i="1"/>
  <c r="D153" i="1"/>
  <c r="E153" i="1"/>
  <c r="D154" i="1"/>
  <c r="E154" i="1"/>
  <c r="D155" i="1"/>
  <c r="E155" i="1"/>
  <c r="D156" i="1"/>
  <c r="E156" i="1"/>
  <c r="D157" i="1"/>
  <c r="E157" i="1"/>
  <c r="D158" i="1"/>
  <c r="E158" i="1"/>
  <c r="D159" i="1"/>
  <c r="E159" i="1"/>
  <c r="D160" i="1"/>
  <c r="E160" i="1"/>
  <c r="D161" i="1"/>
  <c r="E161" i="1"/>
  <c r="D162" i="1"/>
  <c r="E162" i="1"/>
  <c r="D163" i="1"/>
  <c r="E163" i="1"/>
  <c r="D164" i="1"/>
  <c r="E164" i="1"/>
  <c r="D165" i="1"/>
  <c r="E165" i="1"/>
  <c r="D166" i="1"/>
  <c r="E166" i="1"/>
  <c r="D167" i="1"/>
  <c r="E167" i="1"/>
  <c r="D168" i="1"/>
  <c r="E168" i="1"/>
  <c r="D169" i="1"/>
  <c r="E169" i="1"/>
  <c r="D170" i="1"/>
  <c r="E170" i="1"/>
  <c r="D171" i="1"/>
  <c r="E171" i="1"/>
  <c r="D172" i="1"/>
  <c r="E172" i="1"/>
  <c r="D173" i="1"/>
  <c r="E173" i="1"/>
  <c r="D174" i="1"/>
  <c r="E174" i="1"/>
  <c r="D175" i="1"/>
  <c r="E175" i="1"/>
  <c r="D176" i="1"/>
  <c r="E176" i="1"/>
  <c r="D177" i="1"/>
  <c r="E177" i="1"/>
  <c r="D178" i="1"/>
  <c r="E178" i="1"/>
  <c r="D179" i="1"/>
  <c r="E179" i="1"/>
  <c r="D180" i="1"/>
  <c r="E180" i="1"/>
  <c r="D181" i="1"/>
  <c r="E181" i="1"/>
  <c r="D182" i="1"/>
  <c r="E182" i="1"/>
  <c r="D183" i="1"/>
  <c r="E183" i="1"/>
  <c r="D184" i="1"/>
  <c r="E184" i="1"/>
  <c r="D185" i="1"/>
  <c r="E185" i="1"/>
  <c r="D186" i="1"/>
  <c r="E186" i="1"/>
  <c r="D187" i="1"/>
  <c r="E187" i="1"/>
  <c r="D188" i="1"/>
  <c r="E188" i="1"/>
  <c r="D189" i="1"/>
  <c r="E189" i="1"/>
  <c r="D190" i="1"/>
  <c r="E190" i="1"/>
  <c r="D191" i="1"/>
  <c r="E191" i="1"/>
  <c r="D192" i="1"/>
  <c r="E192" i="1"/>
  <c r="D193" i="1"/>
  <c r="E193" i="1"/>
  <c r="D194" i="1"/>
  <c r="E194" i="1"/>
  <c r="D195" i="1"/>
  <c r="E195" i="1"/>
  <c r="D196" i="1"/>
  <c r="E196" i="1"/>
  <c r="D197" i="1"/>
  <c r="E197" i="1"/>
  <c r="D198" i="1"/>
  <c r="E198" i="1"/>
  <c r="D199" i="1"/>
  <c r="E199" i="1"/>
  <c r="D200" i="1"/>
  <c r="E200" i="1"/>
  <c r="D201" i="1"/>
  <c r="E201" i="1"/>
  <c r="D202" i="1"/>
  <c r="E202" i="1"/>
  <c r="D203" i="1"/>
  <c r="E203" i="1"/>
  <c r="D204" i="1"/>
  <c r="E204" i="1"/>
  <c r="D205" i="1"/>
  <c r="E205" i="1"/>
  <c r="D206" i="1"/>
  <c r="E206" i="1"/>
  <c r="D207" i="1"/>
  <c r="E207" i="1"/>
  <c r="D208" i="1"/>
  <c r="E208" i="1"/>
  <c r="D209" i="1"/>
  <c r="E209" i="1"/>
  <c r="D210" i="1"/>
  <c r="E210" i="1"/>
  <c r="D211" i="1"/>
  <c r="E211" i="1"/>
  <c r="D212" i="1"/>
  <c r="E212" i="1"/>
  <c r="D213" i="1"/>
  <c r="E213" i="1"/>
  <c r="D214" i="1"/>
  <c r="E214" i="1"/>
  <c r="D215" i="1"/>
  <c r="E215" i="1"/>
  <c r="D216" i="1"/>
  <c r="E216" i="1"/>
  <c r="D217" i="1"/>
  <c r="E217" i="1"/>
  <c r="D218" i="1"/>
  <c r="E218" i="1"/>
  <c r="D219" i="1"/>
  <c r="E219" i="1"/>
  <c r="D220" i="1"/>
  <c r="E220" i="1"/>
  <c r="D221" i="1"/>
  <c r="E221" i="1"/>
  <c r="D222" i="1"/>
  <c r="E222" i="1"/>
  <c r="D223" i="1"/>
  <c r="E223" i="1"/>
  <c r="D224" i="1"/>
  <c r="E224" i="1"/>
  <c r="D225" i="1"/>
  <c r="E225" i="1"/>
  <c r="D226" i="1"/>
  <c r="E226" i="1"/>
  <c r="D227" i="1"/>
  <c r="E227" i="1"/>
  <c r="D228" i="1"/>
  <c r="E228" i="1"/>
  <c r="D229" i="1"/>
  <c r="E229" i="1"/>
  <c r="D230" i="1"/>
  <c r="E230" i="1"/>
  <c r="D231" i="1"/>
  <c r="E231" i="1"/>
  <c r="D232" i="1"/>
  <c r="E232" i="1"/>
  <c r="D233" i="1"/>
  <c r="E233" i="1"/>
  <c r="D234" i="1"/>
  <c r="E234" i="1"/>
  <c r="D235" i="1"/>
  <c r="E235" i="1"/>
  <c r="D236" i="1"/>
  <c r="E236" i="1"/>
  <c r="D237" i="1"/>
  <c r="E237" i="1"/>
  <c r="D238" i="1"/>
  <c r="E238" i="1"/>
  <c r="D239" i="1"/>
  <c r="E239" i="1"/>
  <c r="D240" i="1"/>
  <c r="E240" i="1"/>
  <c r="D241" i="1"/>
  <c r="E241" i="1"/>
  <c r="D242" i="1"/>
  <c r="E242" i="1"/>
  <c r="D243" i="1"/>
  <c r="E243" i="1"/>
  <c r="D244" i="1"/>
  <c r="E244" i="1"/>
  <c r="D245" i="1"/>
  <c r="E245" i="1"/>
  <c r="D246" i="1"/>
  <c r="E246" i="1"/>
  <c r="D247" i="1"/>
  <c r="E247" i="1"/>
  <c r="D248" i="1"/>
  <c r="E248" i="1"/>
  <c r="D249" i="1"/>
  <c r="E249" i="1"/>
  <c r="D250" i="1"/>
  <c r="E250" i="1"/>
  <c r="D251" i="1"/>
  <c r="E251" i="1"/>
  <c r="D252" i="1"/>
  <c r="E252" i="1"/>
  <c r="D253" i="1"/>
  <c r="E253" i="1"/>
  <c r="D254" i="1"/>
  <c r="E254" i="1"/>
  <c r="D255" i="1"/>
  <c r="E255" i="1"/>
  <c r="D256" i="1"/>
  <c r="E256" i="1"/>
  <c r="D257" i="1"/>
  <c r="E257" i="1"/>
  <c r="D258" i="1"/>
  <c r="E258" i="1"/>
  <c r="D259" i="1"/>
  <c r="E259" i="1"/>
  <c r="D260" i="1"/>
  <c r="E260" i="1"/>
  <c r="D261" i="1"/>
  <c r="E261" i="1"/>
  <c r="D262" i="1"/>
  <c r="E262" i="1"/>
  <c r="D263" i="1"/>
  <c r="E263" i="1"/>
  <c r="D264" i="1"/>
  <c r="E264" i="1"/>
  <c r="D265" i="1"/>
  <c r="E265" i="1"/>
  <c r="D266" i="1"/>
  <c r="E266" i="1"/>
  <c r="D267" i="1"/>
  <c r="E267" i="1"/>
  <c r="D268" i="1"/>
  <c r="E268" i="1"/>
  <c r="D269" i="1"/>
  <c r="E269" i="1"/>
  <c r="D270" i="1"/>
  <c r="E270" i="1"/>
  <c r="D271" i="1"/>
  <c r="E271" i="1"/>
  <c r="D272" i="1"/>
  <c r="E272" i="1"/>
  <c r="D273" i="1"/>
  <c r="E273" i="1"/>
  <c r="D274" i="1"/>
  <c r="E274" i="1"/>
  <c r="D275" i="1"/>
  <c r="E275" i="1"/>
  <c r="D276" i="1"/>
  <c r="E276" i="1"/>
  <c r="D277" i="1"/>
  <c r="E277" i="1"/>
  <c r="D278" i="1"/>
  <c r="E278" i="1"/>
  <c r="D279" i="1"/>
  <c r="E279" i="1"/>
  <c r="D280" i="1"/>
  <c r="E280" i="1"/>
  <c r="D281" i="1"/>
  <c r="E281" i="1"/>
  <c r="D282" i="1"/>
  <c r="E282" i="1"/>
  <c r="D283" i="1"/>
  <c r="E283" i="1"/>
  <c r="D284" i="1"/>
  <c r="E284" i="1"/>
  <c r="D285" i="1"/>
  <c r="E285" i="1"/>
  <c r="D286" i="1"/>
  <c r="E286" i="1"/>
  <c r="D287" i="1"/>
  <c r="E287" i="1"/>
  <c r="D288" i="1"/>
  <c r="E288" i="1"/>
  <c r="D289" i="1"/>
  <c r="E289" i="1"/>
  <c r="D290" i="1"/>
  <c r="E290" i="1"/>
  <c r="D291" i="1"/>
  <c r="E291" i="1"/>
  <c r="D292" i="1"/>
  <c r="E292" i="1"/>
  <c r="D293" i="1"/>
  <c r="E293" i="1"/>
  <c r="D294" i="1"/>
  <c r="E294" i="1"/>
  <c r="D295" i="1"/>
  <c r="E295" i="1"/>
  <c r="D296" i="1"/>
  <c r="E296" i="1"/>
  <c r="D297" i="1"/>
  <c r="E297" i="1"/>
  <c r="D298" i="1"/>
  <c r="E298" i="1"/>
  <c r="D299" i="1"/>
  <c r="E299" i="1"/>
  <c r="D300" i="1"/>
  <c r="E300" i="1"/>
  <c r="D301" i="1"/>
  <c r="E301" i="1"/>
  <c r="D302" i="1"/>
  <c r="E302" i="1"/>
  <c r="D303" i="1"/>
  <c r="E303" i="1"/>
  <c r="D304" i="1"/>
  <c r="E304" i="1"/>
  <c r="D305" i="1"/>
  <c r="E305" i="1"/>
  <c r="D306" i="1"/>
  <c r="E306" i="1"/>
  <c r="D307" i="1"/>
  <c r="E307" i="1"/>
  <c r="D308" i="1"/>
  <c r="E308" i="1"/>
  <c r="D309" i="1"/>
  <c r="E309" i="1"/>
  <c r="D310" i="1"/>
  <c r="E310" i="1"/>
  <c r="D311" i="1"/>
  <c r="E311" i="1"/>
  <c r="D312" i="1"/>
  <c r="E312" i="1"/>
  <c r="D313" i="1"/>
  <c r="E313" i="1"/>
  <c r="D314" i="1"/>
  <c r="E314" i="1"/>
  <c r="D315" i="1"/>
  <c r="E315" i="1"/>
  <c r="D316" i="1"/>
  <c r="E316" i="1"/>
  <c r="D317" i="1"/>
  <c r="E317" i="1"/>
  <c r="D318" i="1"/>
  <c r="E318" i="1"/>
  <c r="D319" i="1"/>
  <c r="E319" i="1"/>
  <c r="D320" i="1"/>
  <c r="E320" i="1"/>
  <c r="D321" i="1"/>
  <c r="E321" i="1"/>
  <c r="D322" i="1"/>
  <c r="E322" i="1"/>
  <c r="D323" i="1"/>
  <c r="E323" i="1"/>
  <c r="D324" i="1"/>
  <c r="E324" i="1"/>
  <c r="D325" i="1"/>
  <c r="E325" i="1"/>
  <c r="D326" i="1"/>
  <c r="E326" i="1"/>
  <c r="D327" i="1"/>
  <c r="E327" i="1"/>
  <c r="D328" i="1"/>
  <c r="E328" i="1"/>
  <c r="D329" i="1"/>
  <c r="E329" i="1"/>
  <c r="D330" i="1"/>
  <c r="E330" i="1"/>
  <c r="D331" i="1"/>
  <c r="E331" i="1"/>
  <c r="D332" i="1"/>
  <c r="E332" i="1"/>
  <c r="D333" i="1"/>
  <c r="E333" i="1"/>
  <c r="D334" i="1"/>
  <c r="E334" i="1"/>
  <c r="D335" i="1"/>
  <c r="E335" i="1"/>
  <c r="D336" i="1"/>
  <c r="E336" i="1"/>
  <c r="D337" i="1"/>
  <c r="E337" i="1"/>
  <c r="D338" i="1"/>
  <c r="E338" i="1"/>
  <c r="D339" i="1"/>
  <c r="E339" i="1"/>
  <c r="D340" i="1"/>
  <c r="E340" i="1"/>
  <c r="D341" i="1"/>
  <c r="E341" i="1"/>
  <c r="D342" i="1"/>
  <c r="E342" i="1"/>
  <c r="D343" i="1"/>
  <c r="E343" i="1"/>
  <c r="D344" i="1"/>
  <c r="E344" i="1"/>
  <c r="D345" i="1"/>
  <c r="E345" i="1"/>
  <c r="D346" i="1"/>
  <c r="E346" i="1"/>
  <c r="D347" i="1"/>
  <c r="E347" i="1"/>
  <c r="D348" i="1"/>
  <c r="E348" i="1"/>
  <c r="D349" i="1"/>
  <c r="E349" i="1"/>
  <c r="D350" i="1"/>
  <c r="E350" i="1"/>
  <c r="D351" i="1"/>
  <c r="E351" i="1"/>
  <c r="D352" i="1"/>
  <c r="E352" i="1"/>
  <c r="D353" i="1"/>
  <c r="E353" i="1"/>
  <c r="D354" i="1"/>
  <c r="E354" i="1"/>
  <c r="D355" i="1"/>
  <c r="E355" i="1"/>
  <c r="D356" i="1"/>
  <c r="E356" i="1"/>
  <c r="D357" i="1"/>
  <c r="E357" i="1"/>
  <c r="D358" i="1"/>
  <c r="E358" i="1"/>
  <c r="D359" i="1"/>
  <c r="E359" i="1"/>
  <c r="D360" i="1"/>
  <c r="E360" i="1"/>
  <c r="D361" i="1"/>
  <c r="E361" i="1"/>
  <c r="D362" i="1"/>
  <c r="E362" i="1"/>
  <c r="D363" i="1"/>
  <c r="E363" i="1"/>
  <c r="D364" i="1"/>
  <c r="E364" i="1"/>
  <c r="D365" i="1"/>
  <c r="E365" i="1"/>
  <c r="D366" i="1"/>
  <c r="E366" i="1"/>
  <c r="D367" i="1"/>
  <c r="E367" i="1"/>
  <c r="D368" i="1"/>
  <c r="E368" i="1"/>
  <c r="D369" i="1"/>
  <c r="E369" i="1"/>
  <c r="D370" i="1"/>
  <c r="E370" i="1"/>
  <c r="D371" i="1"/>
  <c r="E371" i="1"/>
  <c r="D372" i="1"/>
  <c r="E372" i="1"/>
  <c r="D373" i="1"/>
  <c r="E373" i="1"/>
  <c r="D374" i="1"/>
  <c r="E374" i="1"/>
  <c r="D375" i="1"/>
  <c r="E375" i="1"/>
  <c r="D376" i="1"/>
  <c r="E376" i="1"/>
  <c r="D377" i="1"/>
  <c r="E377" i="1"/>
  <c r="D378" i="1"/>
  <c r="E378" i="1"/>
  <c r="D379" i="1"/>
  <c r="E379" i="1"/>
  <c r="D380" i="1"/>
  <c r="E380" i="1"/>
  <c r="D381" i="1"/>
  <c r="E381" i="1"/>
  <c r="D382" i="1"/>
  <c r="E382" i="1"/>
  <c r="D383" i="1"/>
  <c r="E383" i="1"/>
  <c r="D384" i="1"/>
  <c r="E384" i="1"/>
  <c r="D385" i="1"/>
  <c r="E385" i="1"/>
  <c r="D386" i="1"/>
  <c r="E386" i="1"/>
  <c r="D387" i="1"/>
  <c r="E387" i="1"/>
  <c r="D388" i="1"/>
  <c r="E388" i="1"/>
  <c r="D389" i="1"/>
  <c r="E389" i="1"/>
  <c r="D390" i="1"/>
  <c r="E390" i="1"/>
  <c r="D391" i="1"/>
  <c r="E391" i="1"/>
  <c r="D392" i="1"/>
  <c r="E392" i="1"/>
  <c r="D393" i="1"/>
  <c r="E393" i="1"/>
  <c r="D394" i="1"/>
  <c r="E394" i="1"/>
  <c r="D395" i="1"/>
  <c r="E395" i="1"/>
  <c r="D396" i="1"/>
  <c r="E396" i="1"/>
  <c r="D397" i="1"/>
  <c r="E397" i="1"/>
  <c r="D398" i="1"/>
  <c r="E398" i="1"/>
  <c r="D399" i="1"/>
  <c r="E399" i="1"/>
  <c r="D400" i="1"/>
  <c r="E400" i="1"/>
  <c r="D401" i="1"/>
  <c r="E401" i="1"/>
  <c r="D402" i="1"/>
  <c r="E402" i="1"/>
  <c r="E3" i="1"/>
  <c r="E1" i="1" s="1"/>
  <c r="D3" i="1"/>
  <c r="D1" i="1" s="1"/>
</calcChain>
</file>

<file path=xl/sharedStrings.xml><?xml version="1.0" encoding="utf-8"?>
<sst xmlns="http://schemas.openxmlformats.org/spreadsheetml/2006/main" count="3" uniqueCount="3">
  <si>
    <t>t</t>
  </si>
  <si>
    <t>spot movement induced by local vol</t>
    <phoneticPr fontId="18" type="noConversion"/>
  </si>
  <si>
    <t>spot movement induced by implied vol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</si>
</sst>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%"/>
  </numFmts>
  <fonts count="1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3">
    <xf numFmtId="0" fontId="0" fillId="0" borderId="0" xfId="0">
      <alignment vertical="center"/>
    </xf>
    <xf numFmtId="176" fontId="0" fillId="0" borderId="0" xfId="42" applyNumberFormat="1" applyFont="1">
      <alignment vertical="center"/>
    </xf>
    <xf numFmtId="9" fontId="0" fillId="0" borderId="0" xfId="0" applyNumberFormat="1">
      <alignment vertical="center"/>
    </xf>
  </cellXfs>
  <cellStyles count="43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백분율" xfId="42" builtinId="5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'StockGen08191917-하락추세'!$B$1</c:f>
              <c:strCache>
                <c:ptCount val="1"/>
                <c:pt idx="0">
                  <c:v>spot movement induced by local vol</c:v>
                </c:pt>
              </c:strCache>
            </c:strRef>
          </c:tx>
          <c:spPr>
            <a:ln w="19050">
              <a:prstDash val="sysDash"/>
            </a:ln>
          </c:spPr>
          <c:marker>
            <c:symbol val="none"/>
          </c:marker>
          <c:xVal>
            <c:numRef>
              <c:f>'StockGen08191917-하락추세'!$A$2:$A$1081</c:f>
              <c:numCache>
                <c:formatCode>General</c:formatCode>
                <c:ptCount val="10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</c:numCache>
            </c:numRef>
          </c:xVal>
          <c:yVal>
            <c:numRef>
              <c:f>'StockGen08191917-하락추세'!$B$2:$B$1081</c:f>
              <c:numCache>
                <c:formatCode>General</c:formatCode>
                <c:ptCount val="1080"/>
                <c:pt idx="0">
                  <c:v>293.98</c:v>
                </c:pt>
                <c:pt idx="1">
                  <c:v>291.14400000000001</c:v>
                </c:pt>
                <c:pt idx="2">
                  <c:v>292.935</c:v>
                </c:pt>
                <c:pt idx="3">
                  <c:v>294.55599999999998</c:v>
                </c:pt>
                <c:pt idx="4">
                  <c:v>292.60300000000001</c:v>
                </c:pt>
                <c:pt idx="5">
                  <c:v>293.08499999999998</c:v>
                </c:pt>
                <c:pt idx="6">
                  <c:v>290.08300000000003</c:v>
                </c:pt>
                <c:pt idx="7">
                  <c:v>287.73500000000001</c:v>
                </c:pt>
                <c:pt idx="8">
                  <c:v>285.233</c:v>
                </c:pt>
                <c:pt idx="9">
                  <c:v>287.81400000000002</c:v>
                </c:pt>
                <c:pt idx="10">
                  <c:v>287.286</c:v>
                </c:pt>
                <c:pt idx="11">
                  <c:v>288.55399999999997</c:v>
                </c:pt>
                <c:pt idx="12">
                  <c:v>285.74099999999999</c:v>
                </c:pt>
                <c:pt idx="13">
                  <c:v>290.416</c:v>
                </c:pt>
                <c:pt idx="14">
                  <c:v>291.50700000000001</c:v>
                </c:pt>
                <c:pt idx="15">
                  <c:v>291.61399999999998</c:v>
                </c:pt>
                <c:pt idx="16">
                  <c:v>290.69200000000001</c:v>
                </c:pt>
                <c:pt idx="17">
                  <c:v>292.512</c:v>
                </c:pt>
                <c:pt idx="18">
                  <c:v>293.55799999999999</c:v>
                </c:pt>
                <c:pt idx="19">
                  <c:v>294.21199999999999</c:v>
                </c:pt>
                <c:pt idx="20">
                  <c:v>293.94900000000001</c:v>
                </c:pt>
                <c:pt idx="21">
                  <c:v>295.61200000000002</c:v>
                </c:pt>
                <c:pt idx="22">
                  <c:v>298.25700000000001</c:v>
                </c:pt>
                <c:pt idx="23">
                  <c:v>296.98099999999999</c:v>
                </c:pt>
                <c:pt idx="24">
                  <c:v>292.68099999999998</c:v>
                </c:pt>
                <c:pt idx="25">
                  <c:v>289.68</c:v>
                </c:pt>
                <c:pt idx="26">
                  <c:v>289.92399999999998</c:v>
                </c:pt>
                <c:pt idx="27">
                  <c:v>292.66899999999998</c:v>
                </c:pt>
                <c:pt idx="28">
                  <c:v>290.61799999999999</c:v>
                </c:pt>
                <c:pt idx="29">
                  <c:v>286.76100000000002</c:v>
                </c:pt>
                <c:pt idx="30">
                  <c:v>286.346</c:v>
                </c:pt>
                <c:pt idx="31">
                  <c:v>282.58800000000002</c:v>
                </c:pt>
                <c:pt idx="32">
                  <c:v>285.70400000000001</c:v>
                </c:pt>
                <c:pt idx="33">
                  <c:v>288.23500000000001</c:v>
                </c:pt>
                <c:pt idx="34">
                  <c:v>290.30099999999999</c:v>
                </c:pt>
                <c:pt idx="35">
                  <c:v>289.58600000000001</c:v>
                </c:pt>
                <c:pt idx="36">
                  <c:v>289.50299999999999</c:v>
                </c:pt>
                <c:pt idx="37">
                  <c:v>288.97399999999999</c:v>
                </c:pt>
                <c:pt idx="38">
                  <c:v>291.84899999999999</c:v>
                </c:pt>
                <c:pt idx="39">
                  <c:v>285.85199999999998</c:v>
                </c:pt>
                <c:pt idx="40">
                  <c:v>286.10599999999999</c:v>
                </c:pt>
                <c:pt idx="41">
                  <c:v>289.39499999999998</c:v>
                </c:pt>
                <c:pt idx="42">
                  <c:v>287.767</c:v>
                </c:pt>
                <c:pt idx="43">
                  <c:v>287.70800000000003</c:v>
                </c:pt>
                <c:pt idx="44">
                  <c:v>290.05799999999999</c:v>
                </c:pt>
                <c:pt idx="45">
                  <c:v>290.05099999999999</c:v>
                </c:pt>
                <c:pt idx="46">
                  <c:v>291.84899999999999</c:v>
                </c:pt>
                <c:pt idx="47">
                  <c:v>297.01799999999997</c:v>
                </c:pt>
                <c:pt idx="48">
                  <c:v>294.28300000000002</c:v>
                </c:pt>
                <c:pt idx="49">
                  <c:v>296.74799999999999</c:v>
                </c:pt>
                <c:pt idx="50">
                  <c:v>297.32499999999999</c:v>
                </c:pt>
                <c:pt idx="51">
                  <c:v>298.25400000000002</c:v>
                </c:pt>
                <c:pt idx="52">
                  <c:v>298.41199999999998</c:v>
                </c:pt>
                <c:pt idx="53">
                  <c:v>302.33699999999999</c:v>
                </c:pt>
                <c:pt idx="54">
                  <c:v>301.03500000000003</c:v>
                </c:pt>
                <c:pt idx="55">
                  <c:v>296.25400000000002</c:v>
                </c:pt>
                <c:pt idx="56">
                  <c:v>297.53100000000001</c:v>
                </c:pt>
                <c:pt idx="57">
                  <c:v>294.46300000000002</c:v>
                </c:pt>
                <c:pt idx="58">
                  <c:v>291.27999999999997</c:v>
                </c:pt>
                <c:pt idx="59">
                  <c:v>291.45100000000002</c:v>
                </c:pt>
                <c:pt idx="60">
                  <c:v>292.87200000000001</c:v>
                </c:pt>
                <c:pt idx="61">
                  <c:v>292.86700000000002</c:v>
                </c:pt>
                <c:pt idx="62">
                  <c:v>291.40499999999997</c:v>
                </c:pt>
                <c:pt idx="63">
                  <c:v>296.38200000000001</c:v>
                </c:pt>
                <c:pt idx="64">
                  <c:v>294.678</c:v>
                </c:pt>
                <c:pt idx="65">
                  <c:v>294.90600000000001</c:v>
                </c:pt>
                <c:pt idx="66">
                  <c:v>293.14100000000002</c:v>
                </c:pt>
                <c:pt idx="67">
                  <c:v>294.197</c:v>
                </c:pt>
                <c:pt idx="68">
                  <c:v>293.23500000000001</c:v>
                </c:pt>
                <c:pt idx="69">
                  <c:v>293.017</c:v>
                </c:pt>
                <c:pt idx="70">
                  <c:v>293.517</c:v>
                </c:pt>
                <c:pt idx="71">
                  <c:v>294.476</c:v>
                </c:pt>
                <c:pt idx="72">
                  <c:v>297.78199999999998</c:v>
                </c:pt>
                <c:pt idx="73">
                  <c:v>298.45499999999998</c:v>
                </c:pt>
                <c:pt idx="74">
                  <c:v>299.11200000000002</c:v>
                </c:pt>
                <c:pt idx="75">
                  <c:v>299.13900000000001</c:v>
                </c:pt>
                <c:pt idx="76">
                  <c:v>297.49200000000002</c:v>
                </c:pt>
                <c:pt idx="77">
                  <c:v>296.83100000000002</c:v>
                </c:pt>
                <c:pt idx="78">
                  <c:v>294.53899999999999</c:v>
                </c:pt>
                <c:pt idx="79">
                  <c:v>290.70499999999998</c:v>
                </c:pt>
                <c:pt idx="80">
                  <c:v>291.03500000000003</c:v>
                </c:pt>
                <c:pt idx="81">
                  <c:v>293.39100000000002</c:v>
                </c:pt>
                <c:pt idx="82">
                  <c:v>296.601</c:v>
                </c:pt>
                <c:pt idx="83">
                  <c:v>297.97199999999998</c:v>
                </c:pt>
                <c:pt idx="84">
                  <c:v>295.50900000000001</c:v>
                </c:pt>
                <c:pt idx="85">
                  <c:v>294.69099999999997</c:v>
                </c:pt>
                <c:pt idx="86">
                  <c:v>293.13499999999999</c:v>
                </c:pt>
                <c:pt idx="87">
                  <c:v>292.42899999999997</c:v>
                </c:pt>
                <c:pt idx="88">
                  <c:v>292.37</c:v>
                </c:pt>
                <c:pt idx="89">
                  <c:v>288.39999999999998</c:v>
                </c:pt>
                <c:pt idx="90">
                  <c:v>285.762</c:v>
                </c:pt>
                <c:pt idx="91">
                  <c:v>287.24599999999998</c:v>
                </c:pt>
                <c:pt idx="92">
                  <c:v>289.64800000000002</c:v>
                </c:pt>
                <c:pt idx="93">
                  <c:v>291.137</c:v>
                </c:pt>
                <c:pt idx="94">
                  <c:v>294.46800000000002</c:v>
                </c:pt>
                <c:pt idx="95">
                  <c:v>296.149</c:v>
                </c:pt>
                <c:pt idx="96">
                  <c:v>292.43299999999999</c:v>
                </c:pt>
                <c:pt idx="97">
                  <c:v>290.60399999999998</c:v>
                </c:pt>
                <c:pt idx="98">
                  <c:v>290.94900000000001</c:v>
                </c:pt>
                <c:pt idx="99">
                  <c:v>293.137</c:v>
                </c:pt>
                <c:pt idx="100">
                  <c:v>293.803</c:v>
                </c:pt>
                <c:pt idx="101">
                  <c:v>292.61599999999999</c:v>
                </c:pt>
                <c:pt idx="102">
                  <c:v>293.435</c:v>
                </c:pt>
                <c:pt idx="103">
                  <c:v>293.45400000000001</c:v>
                </c:pt>
                <c:pt idx="104">
                  <c:v>291.90300000000002</c:v>
                </c:pt>
                <c:pt idx="105">
                  <c:v>292.61700000000002</c:v>
                </c:pt>
                <c:pt idx="106">
                  <c:v>291.47500000000002</c:v>
                </c:pt>
                <c:pt idx="107">
                  <c:v>288.41300000000001</c:v>
                </c:pt>
                <c:pt idx="108">
                  <c:v>284.00599999999997</c:v>
                </c:pt>
                <c:pt idx="109">
                  <c:v>287.19</c:v>
                </c:pt>
                <c:pt idx="110">
                  <c:v>283.92500000000001</c:v>
                </c:pt>
                <c:pt idx="111">
                  <c:v>284.142</c:v>
                </c:pt>
                <c:pt idx="112">
                  <c:v>286.15100000000001</c:v>
                </c:pt>
                <c:pt idx="113">
                  <c:v>290.25200000000001</c:v>
                </c:pt>
                <c:pt idx="114">
                  <c:v>289.14800000000002</c:v>
                </c:pt>
                <c:pt idx="115">
                  <c:v>285.29000000000002</c:v>
                </c:pt>
                <c:pt idx="116">
                  <c:v>281.959</c:v>
                </c:pt>
                <c:pt idx="117">
                  <c:v>279.92099999999999</c:v>
                </c:pt>
                <c:pt idx="118">
                  <c:v>280.00700000000001</c:v>
                </c:pt>
                <c:pt idx="119">
                  <c:v>279.55599999999998</c:v>
                </c:pt>
                <c:pt idx="120">
                  <c:v>279.214</c:v>
                </c:pt>
                <c:pt idx="121">
                  <c:v>276.90199999999999</c:v>
                </c:pt>
                <c:pt idx="122">
                  <c:v>275.48399999999998</c:v>
                </c:pt>
                <c:pt idx="123">
                  <c:v>270.49</c:v>
                </c:pt>
                <c:pt idx="124">
                  <c:v>271.91800000000001</c:v>
                </c:pt>
                <c:pt idx="125">
                  <c:v>272.38900000000001</c:v>
                </c:pt>
                <c:pt idx="126">
                  <c:v>267.23599999999999</c:v>
                </c:pt>
                <c:pt idx="127">
                  <c:v>264.267</c:v>
                </c:pt>
                <c:pt idx="128">
                  <c:v>263.36</c:v>
                </c:pt>
                <c:pt idx="129">
                  <c:v>263.96499999999997</c:v>
                </c:pt>
                <c:pt idx="130">
                  <c:v>268.03899999999999</c:v>
                </c:pt>
                <c:pt idx="131">
                  <c:v>274.73099999999999</c:v>
                </c:pt>
                <c:pt idx="132">
                  <c:v>275.48899999999998</c:v>
                </c:pt>
                <c:pt idx="133">
                  <c:v>270.01400000000001</c:v>
                </c:pt>
                <c:pt idx="134">
                  <c:v>269.21199999999999</c:v>
                </c:pt>
                <c:pt idx="135">
                  <c:v>268.16300000000001</c:v>
                </c:pt>
                <c:pt idx="136">
                  <c:v>268.22500000000002</c:v>
                </c:pt>
                <c:pt idx="137">
                  <c:v>264.73099999999999</c:v>
                </c:pt>
                <c:pt idx="138">
                  <c:v>270.00299999999999</c:v>
                </c:pt>
                <c:pt idx="139">
                  <c:v>263.767</c:v>
                </c:pt>
                <c:pt idx="140">
                  <c:v>262.68799999999999</c:v>
                </c:pt>
                <c:pt idx="141">
                  <c:v>263.06400000000002</c:v>
                </c:pt>
                <c:pt idx="142">
                  <c:v>263.47699999999998</c:v>
                </c:pt>
                <c:pt idx="143">
                  <c:v>265.87799999999999</c:v>
                </c:pt>
                <c:pt idx="144">
                  <c:v>261.37799999999999</c:v>
                </c:pt>
                <c:pt idx="145">
                  <c:v>260.15300000000002</c:v>
                </c:pt>
                <c:pt idx="146">
                  <c:v>264.16899999999998</c:v>
                </c:pt>
                <c:pt idx="147">
                  <c:v>263.29700000000003</c:v>
                </c:pt>
                <c:pt idx="148">
                  <c:v>264.738</c:v>
                </c:pt>
                <c:pt idx="149">
                  <c:v>265.41800000000001</c:v>
                </c:pt>
                <c:pt idx="150">
                  <c:v>264.02300000000002</c:v>
                </c:pt>
                <c:pt idx="151">
                  <c:v>268.51</c:v>
                </c:pt>
                <c:pt idx="152">
                  <c:v>271.613</c:v>
                </c:pt>
                <c:pt idx="153">
                  <c:v>270.08600000000001</c:v>
                </c:pt>
                <c:pt idx="154">
                  <c:v>268.62400000000002</c:v>
                </c:pt>
                <c:pt idx="155">
                  <c:v>268.423</c:v>
                </c:pt>
                <c:pt idx="156">
                  <c:v>267.84399999999999</c:v>
                </c:pt>
                <c:pt idx="157">
                  <c:v>269.41699999999997</c:v>
                </c:pt>
                <c:pt idx="158">
                  <c:v>271.98599999999999</c:v>
                </c:pt>
                <c:pt idx="159">
                  <c:v>276.69900000000001</c:v>
                </c:pt>
                <c:pt idx="160">
                  <c:v>273.83</c:v>
                </c:pt>
                <c:pt idx="161">
                  <c:v>277.822</c:v>
                </c:pt>
                <c:pt idx="162">
                  <c:v>275.02100000000002</c:v>
                </c:pt>
                <c:pt idx="163">
                  <c:v>275.16800000000001</c:v>
                </c:pt>
                <c:pt idx="164">
                  <c:v>274.44299999999998</c:v>
                </c:pt>
                <c:pt idx="165">
                  <c:v>275.18099999999998</c:v>
                </c:pt>
                <c:pt idx="166">
                  <c:v>272.315</c:v>
                </c:pt>
                <c:pt idx="167">
                  <c:v>273.51299999999998</c:v>
                </c:pt>
                <c:pt idx="168">
                  <c:v>272.05799999999999</c:v>
                </c:pt>
                <c:pt idx="169">
                  <c:v>274.64400000000001</c:v>
                </c:pt>
                <c:pt idx="170">
                  <c:v>272.839</c:v>
                </c:pt>
                <c:pt idx="171">
                  <c:v>271.53899999999999</c:v>
                </c:pt>
                <c:pt idx="172">
                  <c:v>269.41300000000001</c:v>
                </c:pt>
                <c:pt idx="173">
                  <c:v>269.15100000000001</c:v>
                </c:pt>
                <c:pt idx="174">
                  <c:v>272.10300000000001</c:v>
                </c:pt>
                <c:pt idx="175">
                  <c:v>270.03800000000001</c:v>
                </c:pt>
                <c:pt idx="176">
                  <c:v>266.68099999999998</c:v>
                </c:pt>
                <c:pt idx="177">
                  <c:v>268.91899999999998</c:v>
                </c:pt>
                <c:pt idx="178">
                  <c:v>268.04599999999999</c:v>
                </c:pt>
                <c:pt idx="179">
                  <c:v>267.459</c:v>
                </c:pt>
                <c:pt idx="180">
                  <c:v>267.99</c:v>
                </c:pt>
                <c:pt idx="181">
                  <c:v>265.20699999999999</c:v>
                </c:pt>
                <c:pt idx="182">
                  <c:v>266.96899999999999</c:v>
                </c:pt>
                <c:pt idx="183">
                  <c:v>266.19499999999999</c:v>
                </c:pt>
                <c:pt idx="184">
                  <c:v>266.33499999999998</c:v>
                </c:pt>
                <c:pt idx="185">
                  <c:v>267.94400000000002</c:v>
                </c:pt>
                <c:pt idx="186">
                  <c:v>270.32100000000003</c:v>
                </c:pt>
                <c:pt idx="187">
                  <c:v>271.28399999999999</c:v>
                </c:pt>
                <c:pt idx="188">
                  <c:v>267.495</c:v>
                </c:pt>
                <c:pt idx="189">
                  <c:v>263.46699999999998</c:v>
                </c:pt>
                <c:pt idx="190">
                  <c:v>260.85599999999999</c:v>
                </c:pt>
                <c:pt idx="191">
                  <c:v>259.93099999999998</c:v>
                </c:pt>
                <c:pt idx="192">
                  <c:v>257.35199999999998</c:v>
                </c:pt>
                <c:pt idx="193">
                  <c:v>257.93700000000001</c:v>
                </c:pt>
                <c:pt idx="194">
                  <c:v>258.34300000000002</c:v>
                </c:pt>
                <c:pt idx="195">
                  <c:v>253.84299999999999</c:v>
                </c:pt>
                <c:pt idx="196">
                  <c:v>248.886</c:v>
                </c:pt>
                <c:pt idx="197">
                  <c:v>248.06899999999999</c:v>
                </c:pt>
                <c:pt idx="198">
                  <c:v>250.87799999999999</c:v>
                </c:pt>
                <c:pt idx="199">
                  <c:v>252.58099999999999</c:v>
                </c:pt>
                <c:pt idx="200">
                  <c:v>253.37799999999999</c:v>
                </c:pt>
                <c:pt idx="201">
                  <c:v>251.92500000000001</c:v>
                </c:pt>
                <c:pt idx="202">
                  <c:v>252.297</c:v>
                </c:pt>
                <c:pt idx="203">
                  <c:v>249.274</c:v>
                </c:pt>
                <c:pt idx="204">
                  <c:v>251.26300000000001</c:v>
                </c:pt>
                <c:pt idx="205">
                  <c:v>254.209</c:v>
                </c:pt>
                <c:pt idx="206">
                  <c:v>251.792</c:v>
                </c:pt>
                <c:pt idx="207">
                  <c:v>250.34800000000001</c:v>
                </c:pt>
                <c:pt idx="208">
                  <c:v>246.203</c:v>
                </c:pt>
                <c:pt idx="209">
                  <c:v>247.11199999999999</c:v>
                </c:pt>
                <c:pt idx="210">
                  <c:v>246.797</c:v>
                </c:pt>
                <c:pt idx="211">
                  <c:v>244.99700000000001</c:v>
                </c:pt>
                <c:pt idx="212">
                  <c:v>247.33199999999999</c:v>
                </c:pt>
                <c:pt idx="213">
                  <c:v>247.27</c:v>
                </c:pt>
                <c:pt idx="214">
                  <c:v>250.89599999999999</c:v>
                </c:pt>
                <c:pt idx="215">
                  <c:v>252.44399999999999</c:v>
                </c:pt>
                <c:pt idx="216">
                  <c:v>248.56299999999999</c:v>
                </c:pt>
                <c:pt idx="217">
                  <c:v>253.89500000000001</c:v>
                </c:pt>
                <c:pt idx="218">
                  <c:v>262.255</c:v>
                </c:pt>
                <c:pt idx="219">
                  <c:v>260.161</c:v>
                </c:pt>
                <c:pt idx="220">
                  <c:v>256.68</c:v>
                </c:pt>
                <c:pt idx="221">
                  <c:v>252.84700000000001</c:v>
                </c:pt>
                <c:pt idx="222">
                  <c:v>249.27099999999999</c:v>
                </c:pt>
                <c:pt idx="223">
                  <c:v>246.78899999999999</c:v>
                </c:pt>
                <c:pt idx="224">
                  <c:v>249.00299999999999</c:v>
                </c:pt>
                <c:pt idx="225">
                  <c:v>253.43799999999999</c:v>
                </c:pt>
                <c:pt idx="226">
                  <c:v>256.92</c:v>
                </c:pt>
                <c:pt idx="227">
                  <c:v>256.851</c:v>
                </c:pt>
                <c:pt idx="228">
                  <c:v>253.16</c:v>
                </c:pt>
                <c:pt idx="229">
                  <c:v>250.774</c:v>
                </c:pt>
                <c:pt idx="230">
                  <c:v>253.608</c:v>
                </c:pt>
                <c:pt idx="231">
                  <c:v>253.94</c:v>
                </c:pt>
                <c:pt idx="232">
                  <c:v>251.56899999999999</c:v>
                </c:pt>
                <c:pt idx="233">
                  <c:v>248.26900000000001</c:v>
                </c:pt>
                <c:pt idx="234">
                  <c:v>245.791</c:v>
                </c:pt>
                <c:pt idx="235">
                  <c:v>244.53200000000001</c:v>
                </c:pt>
                <c:pt idx="236">
                  <c:v>246.077</c:v>
                </c:pt>
                <c:pt idx="237">
                  <c:v>246.00200000000001</c:v>
                </c:pt>
                <c:pt idx="238">
                  <c:v>249.88900000000001</c:v>
                </c:pt>
                <c:pt idx="239">
                  <c:v>249.994</c:v>
                </c:pt>
                <c:pt idx="240">
                  <c:v>250.58699999999999</c:v>
                </c:pt>
                <c:pt idx="241">
                  <c:v>250.548</c:v>
                </c:pt>
                <c:pt idx="242">
                  <c:v>250.86799999999999</c:v>
                </c:pt>
                <c:pt idx="243">
                  <c:v>250.77099999999999</c:v>
                </c:pt>
                <c:pt idx="244">
                  <c:v>248.214</c:v>
                </c:pt>
                <c:pt idx="245">
                  <c:v>253.73500000000001</c:v>
                </c:pt>
                <c:pt idx="246">
                  <c:v>252.80099999999999</c:v>
                </c:pt>
                <c:pt idx="247">
                  <c:v>246.53100000000001</c:v>
                </c:pt>
                <c:pt idx="248">
                  <c:v>249.40199999999999</c:v>
                </c:pt>
                <c:pt idx="249">
                  <c:v>250.93600000000001</c:v>
                </c:pt>
                <c:pt idx="250">
                  <c:v>247.405</c:v>
                </c:pt>
                <c:pt idx="251">
                  <c:v>246.971</c:v>
                </c:pt>
                <c:pt idx="252">
                  <c:v>245.60599999999999</c:v>
                </c:pt>
                <c:pt idx="253">
                  <c:v>248.101</c:v>
                </c:pt>
                <c:pt idx="254">
                  <c:v>252.18899999999999</c:v>
                </c:pt>
                <c:pt idx="255">
                  <c:v>247.893</c:v>
                </c:pt>
                <c:pt idx="256">
                  <c:v>252.40600000000001</c:v>
                </c:pt>
                <c:pt idx="257">
                  <c:v>253.77500000000001</c:v>
                </c:pt>
                <c:pt idx="258">
                  <c:v>251.14400000000001</c:v>
                </c:pt>
                <c:pt idx="259">
                  <c:v>251.33099999999999</c:v>
                </c:pt>
                <c:pt idx="260">
                  <c:v>253.39699999999999</c:v>
                </c:pt>
                <c:pt idx="261">
                  <c:v>246.97</c:v>
                </c:pt>
                <c:pt idx="262">
                  <c:v>246.13300000000001</c:v>
                </c:pt>
                <c:pt idx="263">
                  <c:v>243.26</c:v>
                </c:pt>
                <c:pt idx="264">
                  <c:v>243.566</c:v>
                </c:pt>
                <c:pt idx="265">
                  <c:v>241.577</c:v>
                </c:pt>
                <c:pt idx="266">
                  <c:v>238.14</c:v>
                </c:pt>
                <c:pt idx="267">
                  <c:v>234.86</c:v>
                </c:pt>
                <c:pt idx="268">
                  <c:v>234.495</c:v>
                </c:pt>
                <c:pt idx="269">
                  <c:v>233.58500000000001</c:v>
                </c:pt>
                <c:pt idx="270">
                  <c:v>227.61799999999999</c:v>
                </c:pt>
                <c:pt idx="271">
                  <c:v>226.83500000000001</c:v>
                </c:pt>
                <c:pt idx="272">
                  <c:v>225.08500000000001</c:v>
                </c:pt>
                <c:pt idx="273">
                  <c:v>222.19499999999999</c:v>
                </c:pt>
                <c:pt idx="274">
                  <c:v>219.95599999999999</c:v>
                </c:pt>
                <c:pt idx="275">
                  <c:v>219.816</c:v>
                </c:pt>
                <c:pt idx="276">
                  <c:v>215.57900000000001</c:v>
                </c:pt>
                <c:pt idx="277">
                  <c:v>215.34100000000001</c:v>
                </c:pt>
                <c:pt idx="278">
                  <c:v>218.548</c:v>
                </c:pt>
                <c:pt idx="279">
                  <c:v>221.49100000000001</c:v>
                </c:pt>
                <c:pt idx="280">
                  <c:v>219.035</c:v>
                </c:pt>
                <c:pt idx="281">
                  <c:v>222.73</c:v>
                </c:pt>
                <c:pt idx="282">
                  <c:v>219.73500000000001</c:v>
                </c:pt>
                <c:pt idx="283">
                  <c:v>218.76499999999999</c:v>
                </c:pt>
                <c:pt idx="284">
                  <c:v>215.86600000000001</c:v>
                </c:pt>
                <c:pt idx="285">
                  <c:v>216.33500000000001</c:v>
                </c:pt>
                <c:pt idx="286">
                  <c:v>217.768</c:v>
                </c:pt>
                <c:pt idx="287">
                  <c:v>216.87100000000001</c:v>
                </c:pt>
                <c:pt idx="288">
                  <c:v>212.70699999999999</c:v>
                </c:pt>
                <c:pt idx="289">
                  <c:v>213.59899999999999</c:v>
                </c:pt>
                <c:pt idx="290">
                  <c:v>214.816</c:v>
                </c:pt>
                <c:pt idx="291">
                  <c:v>219.11799999999999</c:v>
                </c:pt>
                <c:pt idx="292">
                  <c:v>217.66</c:v>
                </c:pt>
                <c:pt idx="293">
                  <c:v>217.94200000000001</c:v>
                </c:pt>
                <c:pt idx="294">
                  <c:v>219.16</c:v>
                </c:pt>
                <c:pt idx="295">
                  <c:v>218.59700000000001</c:v>
                </c:pt>
                <c:pt idx="296">
                  <c:v>218.07400000000001</c:v>
                </c:pt>
                <c:pt idx="297">
                  <c:v>219.42599999999999</c:v>
                </c:pt>
                <c:pt idx="298">
                  <c:v>217.15600000000001</c:v>
                </c:pt>
                <c:pt idx="299">
                  <c:v>223.87799999999999</c:v>
                </c:pt>
                <c:pt idx="300">
                  <c:v>226.86099999999999</c:v>
                </c:pt>
                <c:pt idx="301">
                  <c:v>227.178</c:v>
                </c:pt>
                <c:pt idx="302">
                  <c:v>229.69800000000001</c:v>
                </c:pt>
                <c:pt idx="303">
                  <c:v>230.589</c:v>
                </c:pt>
                <c:pt idx="304">
                  <c:v>228.88300000000001</c:v>
                </c:pt>
                <c:pt idx="305">
                  <c:v>229.27099999999999</c:v>
                </c:pt>
                <c:pt idx="306">
                  <c:v>230.626</c:v>
                </c:pt>
                <c:pt idx="307">
                  <c:v>229.012</c:v>
                </c:pt>
                <c:pt idx="308">
                  <c:v>230.89</c:v>
                </c:pt>
                <c:pt idx="309">
                  <c:v>228.79</c:v>
                </c:pt>
                <c:pt idx="310">
                  <c:v>230.15700000000001</c:v>
                </c:pt>
                <c:pt idx="311">
                  <c:v>226.06700000000001</c:v>
                </c:pt>
                <c:pt idx="312">
                  <c:v>226.60300000000001</c:v>
                </c:pt>
                <c:pt idx="313">
                  <c:v>224.005</c:v>
                </c:pt>
                <c:pt idx="314">
                  <c:v>224.113</c:v>
                </c:pt>
                <c:pt idx="315">
                  <c:v>219.79300000000001</c:v>
                </c:pt>
                <c:pt idx="316">
                  <c:v>220.643</c:v>
                </c:pt>
                <c:pt idx="317">
                  <c:v>220.33199999999999</c:v>
                </c:pt>
                <c:pt idx="318">
                  <c:v>220.44399999999999</c:v>
                </c:pt>
                <c:pt idx="319">
                  <c:v>220.488</c:v>
                </c:pt>
                <c:pt idx="320">
                  <c:v>213.642</c:v>
                </c:pt>
                <c:pt idx="321">
                  <c:v>213.845</c:v>
                </c:pt>
                <c:pt idx="322">
                  <c:v>210.172</c:v>
                </c:pt>
                <c:pt idx="323">
                  <c:v>209.114</c:v>
                </c:pt>
                <c:pt idx="324">
                  <c:v>209.23099999999999</c:v>
                </c:pt>
                <c:pt idx="325">
                  <c:v>211.834</c:v>
                </c:pt>
                <c:pt idx="326">
                  <c:v>212.066</c:v>
                </c:pt>
                <c:pt idx="327">
                  <c:v>211.732</c:v>
                </c:pt>
                <c:pt idx="328">
                  <c:v>210.23699999999999</c:v>
                </c:pt>
                <c:pt idx="329">
                  <c:v>210.25200000000001</c:v>
                </c:pt>
                <c:pt idx="330">
                  <c:v>210.72</c:v>
                </c:pt>
                <c:pt idx="331">
                  <c:v>209.84700000000001</c:v>
                </c:pt>
                <c:pt idx="332">
                  <c:v>205.30500000000001</c:v>
                </c:pt>
                <c:pt idx="333">
                  <c:v>203.86199999999999</c:v>
                </c:pt>
                <c:pt idx="334">
                  <c:v>204.19200000000001</c:v>
                </c:pt>
                <c:pt idx="335">
                  <c:v>209.505</c:v>
                </c:pt>
                <c:pt idx="336">
                  <c:v>205.68799999999999</c:v>
                </c:pt>
                <c:pt idx="337">
                  <c:v>206.90299999999999</c:v>
                </c:pt>
                <c:pt idx="338">
                  <c:v>210.65</c:v>
                </c:pt>
                <c:pt idx="339">
                  <c:v>212.40899999999999</c:v>
                </c:pt>
                <c:pt idx="340">
                  <c:v>213.624</c:v>
                </c:pt>
                <c:pt idx="341">
                  <c:v>219.905</c:v>
                </c:pt>
                <c:pt idx="342">
                  <c:v>221.56899999999999</c:v>
                </c:pt>
                <c:pt idx="343">
                  <c:v>221.17500000000001</c:v>
                </c:pt>
                <c:pt idx="344">
                  <c:v>222.9</c:v>
                </c:pt>
                <c:pt idx="345">
                  <c:v>227.02099999999999</c:v>
                </c:pt>
                <c:pt idx="346">
                  <c:v>226.762</c:v>
                </c:pt>
                <c:pt idx="347">
                  <c:v>222.869</c:v>
                </c:pt>
                <c:pt idx="348">
                  <c:v>223.66200000000001</c:v>
                </c:pt>
                <c:pt idx="349">
                  <c:v>226.13300000000001</c:v>
                </c:pt>
                <c:pt idx="350">
                  <c:v>228.33199999999999</c:v>
                </c:pt>
                <c:pt idx="351">
                  <c:v>227.196</c:v>
                </c:pt>
                <c:pt idx="352">
                  <c:v>230.13200000000001</c:v>
                </c:pt>
                <c:pt idx="353">
                  <c:v>230.52</c:v>
                </c:pt>
                <c:pt idx="354">
                  <c:v>228.822</c:v>
                </c:pt>
                <c:pt idx="355">
                  <c:v>225.024</c:v>
                </c:pt>
                <c:pt idx="356">
                  <c:v>224.71299999999999</c:v>
                </c:pt>
                <c:pt idx="357">
                  <c:v>225.965</c:v>
                </c:pt>
                <c:pt idx="358">
                  <c:v>224.142</c:v>
                </c:pt>
                <c:pt idx="359">
                  <c:v>224.81700000000001</c:v>
                </c:pt>
                <c:pt idx="360">
                  <c:v>225.24700000000001</c:v>
                </c:pt>
                <c:pt idx="361">
                  <c:v>221.262</c:v>
                </c:pt>
                <c:pt idx="362">
                  <c:v>224.22499999999999</c:v>
                </c:pt>
                <c:pt idx="363">
                  <c:v>221.26599999999999</c:v>
                </c:pt>
                <c:pt idx="364">
                  <c:v>219.99199999999999</c:v>
                </c:pt>
                <c:pt idx="365">
                  <c:v>217.136</c:v>
                </c:pt>
                <c:pt idx="366">
                  <c:v>215</c:v>
                </c:pt>
                <c:pt idx="367">
                  <c:v>214.42</c:v>
                </c:pt>
                <c:pt idx="368">
                  <c:v>216.018</c:v>
                </c:pt>
                <c:pt idx="369">
                  <c:v>217.46899999999999</c:v>
                </c:pt>
                <c:pt idx="370">
                  <c:v>213.952</c:v>
                </c:pt>
                <c:pt idx="371">
                  <c:v>216.441</c:v>
                </c:pt>
                <c:pt idx="372">
                  <c:v>215.608</c:v>
                </c:pt>
                <c:pt idx="373">
                  <c:v>213.495</c:v>
                </c:pt>
                <c:pt idx="374">
                  <c:v>215.25399999999999</c:v>
                </c:pt>
                <c:pt idx="375">
                  <c:v>213.18899999999999</c:v>
                </c:pt>
                <c:pt idx="376">
                  <c:v>210.881</c:v>
                </c:pt>
                <c:pt idx="377">
                  <c:v>211.886</c:v>
                </c:pt>
                <c:pt idx="378">
                  <c:v>211.32</c:v>
                </c:pt>
                <c:pt idx="379">
                  <c:v>211.35300000000001</c:v>
                </c:pt>
                <c:pt idx="380">
                  <c:v>214.43600000000001</c:v>
                </c:pt>
                <c:pt idx="381">
                  <c:v>214.749</c:v>
                </c:pt>
                <c:pt idx="382">
                  <c:v>215.90100000000001</c:v>
                </c:pt>
                <c:pt idx="383">
                  <c:v>211.31</c:v>
                </c:pt>
                <c:pt idx="384">
                  <c:v>210.52600000000001</c:v>
                </c:pt>
                <c:pt idx="385">
                  <c:v>208.81800000000001</c:v>
                </c:pt>
                <c:pt idx="386">
                  <c:v>203.12200000000001</c:v>
                </c:pt>
                <c:pt idx="387">
                  <c:v>204.76300000000001</c:v>
                </c:pt>
                <c:pt idx="388">
                  <c:v>201.22399999999999</c:v>
                </c:pt>
                <c:pt idx="389">
                  <c:v>198.499</c:v>
                </c:pt>
                <c:pt idx="390">
                  <c:v>200.73699999999999</c:v>
                </c:pt>
                <c:pt idx="391">
                  <c:v>196.255</c:v>
                </c:pt>
                <c:pt idx="392">
                  <c:v>198.45099999999999</c:v>
                </c:pt>
                <c:pt idx="393">
                  <c:v>200.06</c:v>
                </c:pt>
                <c:pt idx="394">
                  <c:v>204.404</c:v>
                </c:pt>
                <c:pt idx="395">
                  <c:v>207.89400000000001</c:v>
                </c:pt>
                <c:pt idx="396">
                  <c:v>208.26900000000001</c:v>
                </c:pt>
                <c:pt idx="397">
                  <c:v>210.89699999999999</c:v>
                </c:pt>
                <c:pt idx="398">
                  <c:v>206.828</c:v>
                </c:pt>
                <c:pt idx="399">
                  <c:v>205.048</c:v>
                </c:pt>
                <c:pt idx="400">
                  <c:v>201.24199999999999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'StockGen08191917-하락추세'!$C$1</c:f>
              <c:strCache>
                <c:ptCount val="1"/>
                <c:pt idx="0">
                  <c:v>spot movement induced by implied vol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'StockGen08191917-하락추세'!$A$2:$A$1081</c:f>
              <c:numCache>
                <c:formatCode>General</c:formatCode>
                <c:ptCount val="10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</c:numCache>
            </c:numRef>
          </c:xVal>
          <c:yVal>
            <c:numRef>
              <c:f>'StockGen08191917-하락추세'!$C$2:$C$1081</c:f>
              <c:numCache>
                <c:formatCode>General</c:formatCode>
                <c:ptCount val="1080"/>
                <c:pt idx="0">
                  <c:v>293.98</c:v>
                </c:pt>
                <c:pt idx="1">
                  <c:v>291.12400000000002</c:v>
                </c:pt>
                <c:pt idx="2">
                  <c:v>292.928</c:v>
                </c:pt>
                <c:pt idx="3">
                  <c:v>294.56</c:v>
                </c:pt>
                <c:pt idx="4">
                  <c:v>292.59300000000002</c:v>
                </c:pt>
                <c:pt idx="5">
                  <c:v>293.07799999999997</c:v>
                </c:pt>
                <c:pt idx="6">
                  <c:v>290.05500000000001</c:v>
                </c:pt>
                <c:pt idx="7">
                  <c:v>287.69</c:v>
                </c:pt>
                <c:pt idx="8">
                  <c:v>285.17200000000003</c:v>
                </c:pt>
                <c:pt idx="9">
                  <c:v>287.13499999999999</c:v>
                </c:pt>
                <c:pt idx="10">
                  <c:v>286.60500000000002</c:v>
                </c:pt>
                <c:pt idx="11">
                  <c:v>287.87900000000002</c:v>
                </c:pt>
                <c:pt idx="12">
                  <c:v>285.053</c:v>
                </c:pt>
                <c:pt idx="13">
                  <c:v>288.59500000000003</c:v>
                </c:pt>
                <c:pt idx="14">
                  <c:v>289.68599999999998</c:v>
                </c:pt>
                <c:pt idx="15">
                  <c:v>289.79300000000001</c:v>
                </c:pt>
                <c:pt idx="16">
                  <c:v>288.87</c:v>
                </c:pt>
                <c:pt idx="17">
                  <c:v>290.69200000000001</c:v>
                </c:pt>
                <c:pt idx="18">
                  <c:v>291.73899999999998</c:v>
                </c:pt>
                <c:pt idx="19">
                  <c:v>292.39299999999997</c:v>
                </c:pt>
                <c:pt idx="20">
                  <c:v>292.12900000000002</c:v>
                </c:pt>
                <c:pt idx="21">
                  <c:v>293.79399999999998</c:v>
                </c:pt>
                <c:pt idx="22">
                  <c:v>296.44099999999997</c:v>
                </c:pt>
                <c:pt idx="23">
                  <c:v>295.16300000000001</c:v>
                </c:pt>
                <c:pt idx="24">
                  <c:v>290.86</c:v>
                </c:pt>
                <c:pt idx="25">
                  <c:v>287.85700000000003</c:v>
                </c:pt>
                <c:pt idx="26">
                  <c:v>288.10000000000002</c:v>
                </c:pt>
                <c:pt idx="27">
                  <c:v>290.84800000000001</c:v>
                </c:pt>
                <c:pt idx="28">
                  <c:v>288.79500000000002</c:v>
                </c:pt>
                <c:pt idx="29">
                  <c:v>284.93599999999998</c:v>
                </c:pt>
                <c:pt idx="30">
                  <c:v>284.52</c:v>
                </c:pt>
                <c:pt idx="31">
                  <c:v>281.68299999999999</c:v>
                </c:pt>
                <c:pt idx="32">
                  <c:v>284.04599999999999</c:v>
                </c:pt>
                <c:pt idx="33">
                  <c:v>285.96100000000001</c:v>
                </c:pt>
                <c:pt idx="34">
                  <c:v>288.02499999999998</c:v>
                </c:pt>
                <c:pt idx="35">
                  <c:v>287.31099999999998</c:v>
                </c:pt>
                <c:pt idx="36">
                  <c:v>287.22800000000001</c:v>
                </c:pt>
                <c:pt idx="37">
                  <c:v>286.69900000000001</c:v>
                </c:pt>
                <c:pt idx="38">
                  <c:v>289.57100000000003</c:v>
                </c:pt>
                <c:pt idx="39">
                  <c:v>283.58</c:v>
                </c:pt>
                <c:pt idx="40">
                  <c:v>283.77600000000001</c:v>
                </c:pt>
                <c:pt idx="41">
                  <c:v>286.25799999999998</c:v>
                </c:pt>
                <c:pt idx="42">
                  <c:v>284.63600000000002</c:v>
                </c:pt>
                <c:pt idx="43">
                  <c:v>284.577</c:v>
                </c:pt>
                <c:pt idx="44">
                  <c:v>286.91699999999997</c:v>
                </c:pt>
                <c:pt idx="45">
                  <c:v>286.91000000000003</c:v>
                </c:pt>
                <c:pt idx="46">
                  <c:v>288.702</c:v>
                </c:pt>
                <c:pt idx="47">
                  <c:v>294.053</c:v>
                </c:pt>
                <c:pt idx="48">
                  <c:v>291.21899999999999</c:v>
                </c:pt>
                <c:pt idx="49">
                  <c:v>293.77</c:v>
                </c:pt>
                <c:pt idx="50">
                  <c:v>294.36700000000002</c:v>
                </c:pt>
                <c:pt idx="51">
                  <c:v>295.32900000000001</c:v>
                </c:pt>
                <c:pt idx="52">
                  <c:v>295.49099999999999</c:v>
                </c:pt>
                <c:pt idx="53">
                  <c:v>299.55900000000003</c:v>
                </c:pt>
                <c:pt idx="54">
                  <c:v>297.923</c:v>
                </c:pt>
                <c:pt idx="55">
                  <c:v>292.97399999999999</c:v>
                </c:pt>
                <c:pt idx="56">
                  <c:v>294.29399999999998</c:v>
                </c:pt>
                <c:pt idx="57">
                  <c:v>291.11900000000003</c:v>
                </c:pt>
                <c:pt idx="58">
                  <c:v>287.827</c:v>
                </c:pt>
                <c:pt idx="59">
                  <c:v>288.00200000000001</c:v>
                </c:pt>
                <c:pt idx="60">
                  <c:v>289.471</c:v>
                </c:pt>
                <c:pt idx="61">
                  <c:v>289.46499999999997</c:v>
                </c:pt>
                <c:pt idx="62">
                  <c:v>287.952</c:v>
                </c:pt>
                <c:pt idx="63">
                  <c:v>293.101</c:v>
                </c:pt>
                <c:pt idx="64">
                  <c:v>291.33699999999999</c:v>
                </c:pt>
                <c:pt idx="65">
                  <c:v>291.572</c:v>
                </c:pt>
                <c:pt idx="66">
                  <c:v>289.74700000000001</c:v>
                </c:pt>
                <c:pt idx="67">
                  <c:v>290.839</c:v>
                </c:pt>
                <c:pt idx="68">
                  <c:v>289.84399999999999</c:v>
                </c:pt>
                <c:pt idx="69">
                  <c:v>289.61799999999999</c:v>
                </c:pt>
                <c:pt idx="70">
                  <c:v>290.13499999999999</c:v>
                </c:pt>
                <c:pt idx="71">
                  <c:v>291.12700000000001</c:v>
                </c:pt>
                <c:pt idx="72">
                  <c:v>294.54700000000003</c:v>
                </c:pt>
                <c:pt idx="73">
                  <c:v>295.24400000000003</c:v>
                </c:pt>
                <c:pt idx="74">
                  <c:v>295.923</c:v>
                </c:pt>
                <c:pt idx="75">
                  <c:v>295.952</c:v>
                </c:pt>
                <c:pt idx="76">
                  <c:v>294.24700000000001</c:v>
                </c:pt>
                <c:pt idx="77">
                  <c:v>293.57400000000001</c:v>
                </c:pt>
                <c:pt idx="78">
                  <c:v>291.24299999999999</c:v>
                </c:pt>
                <c:pt idx="79">
                  <c:v>287.34199999999998</c:v>
                </c:pt>
                <c:pt idx="80">
                  <c:v>287.678</c:v>
                </c:pt>
                <c:pt idx="81">
                  <c:v>290.07400000000001</c:v>
                </c:pt>
                <c:pt idx="82">
                  <c:v>293.34100000000001</c:v>
                </c:pt>
                <c:pt idx="83">
                  <c:v>294.73599999999999</c:v>
                </c:pt>
                <c:pt idx="84">
                  <c:v>292.22899999999998</c:v>
                </c:pt>
                <c:pt idx="85">
                  <c:v>291.39800000000002</c:v>
                </c:pt>
                <c:pt idx="86">
                  <c:v>289.815</c:v>
                </c:pt>
                <c:pt idx="87">
                  <c:v>289.09699999999998</c:v>
                </c:pt>
                <c:pt idx="88">
                  <c:v>289.03699999999998</c:v>
                </c:pt>
                <c:pt idx="89">
                  <c:v>284.99900000000002</c:v>
                </c:pt>
                <c:pt idx="90">
                  <c:v>282.31700000000001</c:v>
                </c:pt>
                <c:pt idx="91">
                  <c:v>283.58999999999997</c:v>
                </c:pt>
                <c:pt idx="92">
                  <c:v>286.02999999999997</c:v>
                </c:pt>
                <c:pt idx="93">
                  <c:v>287.54300000000001</c:v>
                </c:pt>
                <c:pt idx="94">
                  <c:v>290.928</c:v>
                </c:pt>
                <c:pt idx="95">
                  <c:v>292.637</c:v>
                </c:pt>
                <c:pt idx="96">
                  <c:v>288.858</c:v>
                </c:pt>
                <c:pt idx="97">
                  <c:v>286.99900000000002</c:v>
                </c:pt>
                <c:pt idx="98">
                  <c:v>287.34899999999999</c:v>
                </c:pt>
                <c:pt idx="99">
                  <c:v>289.572</c:v>
                </c:pt>
                <c:pt idx="100">
                  <c:v>290.24900000000002</c:v>
                </c:pt>
                <c:pt idx="101">
                  <c:v>289.04199999999997</c:v>
                </c:pt>
                <c:pt idx="102">
                  <c:v>289.87400000000002</c:v>
                </c:pt>
                <c:pt idx="103">
                  <c:v>289.89299999999997</c:v>
                </c:pt>
                <c:pt idx="104">
                  <c:v>288.31599999999997</c:v>
                </c:pt>
                <c:pt idx="105">
                  <c:v>289.041</c:v>
                </c:pt>
                <c:pt idx="106">
                  <c:v>287.87900000000002</c:v>
                </c:pt>
                <c:pt idx="107">
                  <c:v>284.767</c:v>
                </c:pt>
                <c:pt idx="108">
                  <c:v>280.29000000000002</c:v>
                </c:pt>
                <c:pt idx="109">
                  <c:v>283.02100000000002</c:v>
                </c:pt>
                <c:pt idx="110">
                  <c:v>279.70999999999998</c:v>
                </c:pt>
                <c:pt idx="111">
                  <c:v>279.89800000000002</c:v>
                </c:pt>
                <c:pt idx="112">
                  <c:v>281.61900000000003</c:v>
                </c:pt>
                <c:pt idx="113">
                  <c:v>285.12400000000002</c:v>
                </c:pt>
                <c:pt idx="114">
                  <c:v>284.00700000000001</c:v>
                </c:pt>
                <c:pt idx="115">
                  <c:v>280.10899999999998</c:v>
                </c:pt>
                <c:pt idx="116">
                  <c:v>277.26900000000001</c:v>
                </c:pt>
                <c:pt idx="117">
                  <c:v>275.52999999999997</c:v>
                </c:pt>
                <c:pt idx="118">
                  <c:v>275.60700000000003</c:v>
                </c:pt>
                <c:pt idx="119">
                  <c:v>275.22399999999999</c:v>
                </c:pt>
                <c:pt idx="120">
                  <c:v>274.93400000000003</c:v>
                </c:pt>
                <c:pt idx="121">
                  <c:v>272.95800000000003</c:v>
                </c:pt>
                <c:pt idx="122">
                  <c:v>271.74700000000001</c:v>
                </c:pt>
                <c:pt idx="123">
                  <c:v>267.46600000000001</c:v>
                </c:pt>
                <c:pt idx="124">
                  <c:v>268.45699999999999</c:v>
                </c:pt>
                <c:pt idx="125">
                  <c:v>268.78800000000001</c:v>
                </c:pt>
                <c:pt idx="126">
                  <c:v>264.36900000000003</c:v>
                </c:pt>
                <c:pt idx="127">
                  <c:v>262.32100000000003</c:v>
                </c:pt>
                <c:pt idx="128">
                  <c:v>261.69900000000001</c:v>
                </c:pt>
                <c:pt idx="129">
                  <c:v>262.12400000000002</c:v>
                </c:pt>
                <c:pt idx="130">
                  <c:v>264.94900000000001</c:v>
                </c:pt>
                <c:pt idx="131">
                  <c:v>269.55700000000002</c:v>
                </c:pt>
                <c:pt idx="132">
                  <c:v>270.20600000000002</c:v>
                </c:pt>
                <c:pt idx="133">
                  <c:v>265.53800000000001</c:v>
                </c:pt>
                <c:pt idx="134">
                  <c:v>264.99299999999999</c:v>
                </c:pt>
                <c:pt idx="135">
                  <c:v>264.27800000000002</c:v>
                </c:pt>
                <c:pt idx="136">
                  <c:v>264.32799999999997</c:v>
                </c:pt>
                <c:pt idx="137">
                  <c:v>261.92500000000001</c:v>
                </c:pt>
                <c:pt idx="138">
                  <c:v>266.06099999999998</c:v>
                </c:pt>
                <c:pt idx="139">
                  <c:v>261.17599999999999</c:v>
                </c:pt>
                <c:pt idx="140">
                  <c:v>260.33199999999999</c:v>
                </c:pt>
                <c:pt idx="141">
                  <c:v>260.63299999999998</c:v>
                </c:pt>
                <c:pt idx="142">
                  <c:v>260.96100000000001</c:v>
                </c:pt>
                <c:pt idx="143">
                  <c:v>262.851</c:v>
                </c:pt>
                <c:pt idx="144">
                  <c:v>259.31799999999998</c:v>
                </c:pt>
                <c:pt idx="145">
                  <c:v>258.35700000000003</c:v>
                </c:pt>
                <c:pt idx="146">
                  <c:v>261.52199999999999</c:v>
                </c:pt>
                <c:pt idx="147">
                  <c:v>260.83999999999997</c:v>
                </c:pt>
                <c:pt idx="148">
                  <c:v>261.97800000000001</c:v>
                </c:pt>
                <c:pt idx="149">
                  <c:v>262.51499999999999</c:v>
                </c:pt>
                <c:pt idx="150">
                  <c:v>261.42399999999998</c:v>
                </c:pt>
                <c:pt idx="151">
                  <c:v>264.94900000000001</c:v>
                </c:pt>
                <c:pt idx="152">
                  <c:v>267.38</c:v>
                </c:pt>
                <c:pt idx="153">
                  <c:v>266.19099999999997</c:v>
                </c:pt>
                <c:pt idx="154">
                  <c:v>265.04599999999999</c:v>
                </c:pt>
                <c:pt idx="155">
                  <c:v>264.88799999999998</c:v>
                </c:pt>
                <c:pt idx="156">
                  <c:v>264.43400000000003</c:v>
                </c:pt>
                <c:pt idx="157">
                  <c:v>265.66500000000002</c:v>
                </c:pt>
                <c:pt idx="158">
                  <c:v>267.673</c:v>
                </c:pt>
                <c:pt idx="159">
                  <c:v>271.911</c:v>
                </c:pt>
                <c:pt idx="160">
                  <c:v>269.33100000000002</c:v>
                </c:pt>
                <c:pt idx="161">
                  <c:v>272.91899999999998</c:v>
                </c:pt>
                <c:pt idx="162">
                  <c:v>270.40100000000001</c:v>
                </c:pt>
                <c:pt idx="163">
                  <c:v>270.53199999999998</c:v>
                </c:pt>
                <c:pt idx="164">
                  <c:v>269.88</c:v>
                </c:pt>
                <c:pt idx="165">
                  <c:v>270.54300000000001</c:v>
                </c:pt>
                <c:pt idx="166">
                  <c:v>267.96499999999997</c:v>
                </c:pt>
                <c:pt idx="167">
                  <c:v>269.04199999999997</c:v>
                </c:pt>
                <c:pt idx="168">
                  <c:v>267.733</c:v>
                </c:pt>
                <c:pt idx="169">
                  <c:v>270.05799999999999</c:v>
                </c:pt>
                <c:pt idx="170">
                  <c:v>268.43400000000003</c:v>
                </c:pt>
                <c:pt idx="171">
                  <c:v>267.26299999999998</c:v>
                </c:pt>
                <c:pt idx="172">
                  <c:v>265.60000000000002</c:v>
                </c:pt>
                <c:pt idx="173">
                  <c:v>265.39299999999997</c:v>
                </c:pt>
                <c:pt idx="174">
                  <c:v>267.7</c:v>
                </c:pt>
                <c:pt idx="175">
                  <c:v>265.83999999999997</c:v>
                </c:pt>
                <c:pt idx="176">
                  <c:v>263.21300000000002</c:v>
                </c:pt>
                <c:pt idx="177">
                  <c:v>264.96300000000002</c:v>
                </c:pt>
                <c:pt idx="178">
                  <c:v>264.27800000000002</c:v>
                </c:pt>
                <c:pt idx="179">
                  <c:v>263.81700000000001</c:v>
                </c:pt>
                <c:pt idx="180">
                  <c:v>264.23099999999999</c:v>
                </c:pt>
                <c:pt idx="181">
                  <c:v>262.04899999999998</c:v>
                </c:pt>
                <c:pt idx="182">
                  <c:v>263.428</c:v>
                </c:pt>
                <c:pt idx="183">
                  <c:v>262.82499999999999</c:v>
                </c:pt>
                <c:pt idx="184">
                  <c:v>262.93799999999999</c:v>
                </c:pt>
                <c:pt idx="185">
                  <c:v>264.202</c:v>
                </c:pt>
                <c:pt idx="186">
                  <c:v>266.065</c:v>
                </c:pt>
                <c:pt idx="187">
                  <c:v>266.82100000000003</c:v>
                </c:pt>
                <c:pt idx="188">
                  <c:v>263.863</c:v>
                </c:pt>
                <c:pt idx="189">
                  <c:v>260.709</c:v>
                </c:pt>
                <c:pt idx="190">
                  <c:v>258.66000000000003</c:v>
                </c:pt>
                <c:pt idx="191">
                  <c:v>257.93599999999998</c:v>
                </c:pt>
                <c:pt idx="192">
                  <c:v>255.90700000000001</c:v>
                </c:pt>
                <c:pt idx="193">
                  <c:v>256.37200000000001</c:v>
                </c:pt>
                <c:pt idx="194">
                  <c:v>256.69600000000003</c:v>
                </c:pt>
                <c:pt idx="195">
                  <c:v>253.14500000000001</c:v>
                </c:pt>
                <c:pt idx="196">
                  <c:v>249.66399999999999</c:v>
                </c:pt>
                <c:pt idx="197">
                  <c:v>249.09299999999999</c:v>
                </c:pt>
                <c:pt idx="198">
                  <c:v>251.07900000000001</c:v>
                </c:pt>
                <c:pt idx="199">
                  <c:v>252.28299999999999</c:v>
                </c:pt>
                <c:pt idx="200">
                  <c:v>252.84899999999999</c:v>
                </c:pt>
                <c:pt idx="201">
                  <c:v>251.834</c:v>
                </c:pt>
                <c:pt idx="202">
                  <c:v>252.102</c:v>
                </c:pt>
                <c:pt idx="203">
                  <c:v>249.97900000000001</c:v>
                </c:pt>
                <c:pt idx="204">
                  <c:v>251.387</c:v>
                </c:pt>
                <c:pt idx="205">
                  <c:v>253.46299999999999</c:v>
                </c:pt>
                <c:pt idx="206">
                  <c:v>251.77099999999999</c:v>
                </c:pt>
                <c:pt idx="207">
                  <c:v>250.761</c:v>
                </c:pt>
                <c:pt idx="208">
                  <c:v>247.839</c:v>
                </c:pt>
                <c:pt idx="209">
                  <c:v>248.489</c:v>
                </c:pt>
                <c:pt idx="210">
                  <c:v>248.27199999999999</c:v>
                </c:pt>
                <c:pt idx="211">
                  <c:v>247.00299999999999</c:v>
                </c:pt>
                <c:pt idx="212">
                  <c:v>248.66200000000001</c:v>
                </c:pt>
                <c:pt idx="213">
                  <c:v>248.625</c:v>
                </c:pt>
                <c:pt idx="214">
                  <c:v>251.19</c:v>
                </c:pt>
                <c:pt idx="215">
                  <c:v>252.285</c:v>
                </c:pt>
                <c:pt idx="216">
                  <c:v>249.55600000000001</c:v>
                </c:pt>
                <c:pt idx="217">
                  <c:v>253.316</c:v>
                </c:pt>
                <c:pt idx="218">
                  <c:v>259.16199999999998</c:v>
                </c:pt>
                <c:pt idx="219">
                  <c:v>257.52199999999999</c:v>
                </c:pt>
                <c:pt idx="220">
                  <c:v>254.78700000000001</c:v>
                </c:pt>
                <c:pt idx="221">
                  <c:v>252.11099999999999</c:v>
                </c:pt>
                <c:pt idx="222">
                  <c:v>249.60300000000001</c:v>
                </c:pt>
                <c:pt idx="223">
                  <c:v>247.858</c:v>
                </c:pt>
                <c:pt idx="224">
                  <c:v>249.42599999999999</c:v>
                </c:pt>
                <c:pt idx="225">
                  <c:v>252.54900000000001</c:v>
                </c:pt>
                <c:pt idx="226">
                  <c:v>254.99100000000001</c:v>
                </c:pt>
                <c:pt idx="227">
                  <c:v>254.94900000000001</c:v>
                </c:pt>
                <c:pt idx="228">
                  <c:v>252.37200000000001</c:v>
                </c:pt>
                <c:pt idx="229">
                  <c:v>250.542</c:v>
                </c:pt>
                <c:pt idx="230">
                  <c:v>252.72499999999999</c:v>
                </c:pt>
                <c:pt idx="231">
                  <c:v>252.98400000000001</c:v>
                </c:pt>
                <c:pt idx="232">
                  <c:v>251.167</c:v>
                </c:pt>
                <c:pt idx="233">
                  <c:v>248.63</c:v>
                </c:pt>
                <c:pt idx="234">
                  <c:v>246.721</c:v>
                </c:pt>
                <c:pt idx="235">
                  <c:v>245.75200000000001</c:v>
                </c:pt>
                <c:pt idx="236">
                  <c:v>246.95099999999999</c:v>
                </c:pt>
                <c:pt idx="237">
                  <c:v>246.89699999999999</c:v>
                </c:pt>
                <c:pt idx="238">
                  <c:v>249.90100000000001</c:v>
                </c:pt>
                <c:pt idx="239">
                  <c:v>249.98599999999999</c:v>
                </c:pt>
                <c:pt idx="240">
                  <c:v>250.447</c:v>
                </c:pt>
                <c:pt idx="241">
                  <c:v>250.422</c:v>
                </c:pt>
                <c:pt idx="242">
                  <c:v>250.673</c:v>
                </c:pt>
                <c:pt idx="243">
                  <c:v>250.60300000000001</c:v>
                </c:pt>
                <c:pt idx="244">
                  <c:v>248.637</c:v>
                </c:pt>
                <c:pt idx="245">
                  <c:v>252.89</c:v>
                </c:pt>
                <c:pt idx="246">
                  <c:v>252.17400000000001</c:v>
                </c:pt>
                <c:pt idx="247">
                  <c:v>247.34299999999999</c:v>
                </c:pt>
                <c:pt idx="248">
                  <c:v>249.55799999999999</c:v>
                </c:pt>
                <c:pt idx="249">
                  <c:v>250.74</c:v>
                </c:pt>
                <c:pt idx="250">
                  <c:v>248.01900000000001</c:v>
                </c:pt>
                <c:pt idx="251">
                  <c:v>247.684</c:v>
                </c:pt>
                <c:pt idx="252">
                  <c:v>246.62899999999999</c:v>
                </c:pt>
                <c:pt idx="253">
                  <c:v>248.55699999999999</c:v>
                </c:pt>
                <c:pt idx="254">
                  <c:v>251.70500000000001</c:v>
                </c:pt>
                <c:pt idx="255">
                  <c:v>248.39699999999999</c:v>
                </c:pt>
                <c:pt idx="256">
                  <c:v>251.87299999999999</c:v>
                </c:pt>
                <c:pt idx="257">
                  <c:v>252.92400000000001</c:v>
                </c:pt>
                <c:pt idx="258">
                  <c:v>250.90299999999999</c:v>
                </c:pt>
                <c:pt idx="259">
                  <c:v>251.04599999999999</c:v>
                </c:pt>
                <c:pt idx="260">
                  <c:v>252.63399999999999</c:v>
                </c:pt>
                <c:pt idx="261">
                  <c:v>247.684</c:v>
                </c:pt>
                <c:pt idx="262">
                  <c:v>247.03800000000001</c:v>
                </c:pt>
                <c:pt idx="263">
                  <c:v>244.81399999999999</c:v>
                </c:pt>
                <c:pt idx="264">
                  <c:v>245.05099999999999</c:v>
                </c:pt>
                <c:pt idx="265">
                  <c:v>243.50899999999999</c:v>
                </c:pt>
                <c:pt idx="266">
                  <c:v>241.08199999999999</c:v>
                </c:pt>
                <c:pt idx="267">
                  <c:v>238.755</c:v>
                </c:pt>
                <c:pt idx="268">
                  <c:v>238.49600000000001</c:v>
                </c:pt>
                <c:pt idx="269">
                  <c:v>237.84899999999999</c:v>
                </c:pt>
                <c:pt idx="270">
                  <c:v>233.584</c:v>
                </c:pt>
                <c:pt idx="271">
                  <c:v>233.071</c:v>
                </c:pt>
                <c:pt idx="272">
                  <c:v>231.92099999999999</c:v>
                </c:pt>
                <c:pt idx="273">
                  <c:v>230.01499999999999</c:v>
                </c:pt>
                <c:pt idx="274">
                  <c:v>228.53200000000001</c:v>
                </c:pt>
                <c:pt idx="275">
                  <c:v>228.446</c:v>
                </c:pt>
                <c:pt idx="276">
                  <c:v>225.63</c:v>
                </c:pt>
                <c:pt idx="277">
                  <c:v>225.47800000000001</c:v>
                </c:pt>
                <c:pt idx="278">
                  <c:v>227.624</c:v>
                </c:pt>
                <c:pt idx="279">
                  <c:v>229.584</c:v>
                </c:pt>
                <c:pt idx="280">
                  <c:v>227.96100000000001</c:v>
                </c:pt>
                <c:pt idx="281">
                  <c:v>230.417</c:v>
                </c:pt>
                <c:pt idx="282">
                  <c:v>228.44</c:v>
                </c:pt>
                <c:pt idx="283">
                  <c:v>227.80199999999999</c:v>
                </c:pt>
                <c:pt idx="284">
                  <c:v>225.876</c:v>
                </c:pt>
                <c:pt idx="285">
                  <c:v>226.197</c:v>
                </c:pt>
                <c:pt idx="286">
                  <c:v>227.15899999999999</c:v>
                </c:pt>
                <c:pt idx="287">
                  <c:v>226.56800000000001</c:v>
                </c:pt>
                <c:pt idx="288">
                  <c:v>223.786</c:v>
                </c:pt>
                <c:pt idx="289">
                  <c:v>224.345</c:v>
                </c:pt>
                <c:pt idx="290">
                  <c:v>225.167</c:v>
                </c:pt>
                <c:pt idx="291">
                  <c:v>228.04400000000001</c:v>
                </c:pt>
                <c:pt idx="292">
                  <c:v>227.08099999999999</c:v>
                </c:pt>
                <c:pt idx="293">
                  <c:v>227.27600000000001</c:v>
                </c:pt>
                <c:pt idx="294">
                  <c:v>228.09299999999999</c:v>
                </c:pt>
                <c:pt idx="295">
                  <c:v>227.726</c:v>
                </c:pt>
                <c:pt idx="296">
                  <c:v>227.38499999999999</c:v>
                </c:pt>
                <c:pt idx="297">
                  <c:v>228.292</c:v>
                </c:pt>
                <c:pt idx="298">
                  <c:v>226.78700000000001</c:v>
                </c:pt>
                <c:pt idx="299">
                  <c:v>231.25399999999999</c:v>
                </c:pt>
                <c:pt idx="300">
                  <c:v>233.22499999999999</c:v>
                </c:pt>
                <c:pt idx="301">
                  <c:v>233.44</c:v>
                </c:pt>
                <c:pt idx="302">
                  <c:v>235.09800000000001</c:v>
                </c:pt>
                <c:pt idx="303">
                  <c:v>235.74100000000001</c:v>
                </c:pt>
                <c:pt idx="304">
                  <c:v>234.52600000000001</c:v>
                </c:pt>
                <c:pt idx="305">
                  <c:v>234.81</c:v>
                </c:pt>
                <c:pt idx="306">
                  <c:v>235.785</c:v>
                </c:pt>
                <c:pt idx="307">
                  <c:v>234.63499999999999</c:v>
                </c:pt>
                <c:pt idx="308">
                  <c:v>235.98500000000001</c:v>
                </c:pt>
                <c:pt idx="309">
                  <c:v>234.48699999999999</c:v>
                </c:pt>
                <c:pt idx="310">
                  <c:v>235.47200000000001</c:v>
                </c:pt>
                <c:pt idx="311">
                  <c:v>232.54400000000001</c:v>
                </c:pt>
                <c:pt idx="312">
                  <c:v>232.90299999999999</c:v>
                </c:pt>
                <c:pt idx="313">
                  <c:v>231.2</c:v>
                </c:pt>
                <c:pt idx="314">
                  <c:v>231.279</c:v>
                </c:pt>
                <c:pt idx="315">
                  <c:v>228.428</c:v>
                </c:pt>
                <c:pt idx="316">
                  <c:v>228.99799999999999</c:v>
                </c:pt>
                <c:pt idx="317">
                  <c:v>228.8</c:v>
                </c:pt>
                <c:pt idx="318">
                  <c:v>228.881</c:v>
                </c:pt>
                <c:pt idx="319">
                  <c:v>228.917</c:v>
                </c:pt>
                <c:pt idx="320">
                  <c:v>224.358</c:v>
                </c:pt>
                <c:pt idx="321">
                  <c:v>224.5</c:v>
                </c:pt>
                <c:pt idx="322">
                  <c:v>221.905</c:v>
                </c:pt>
                <c:pt idx="323">
                  <c:v>221.21700000000001</c:v>
                </c:pt>
                <c:pt idx="324">
                  <c:v>221.30199999999999</c:v>
                </c:pt>
                <c:pt idx="325">
                  <c:v>223.017</c:v>
                </c:pt>
                <c:pt idx="326">
                  <c:v>223.17599999999999</c:v>
                </c:pt>
                <c:pt idx="327">
                  <c:v>222.965</c:v>
                </c:pt>
                <c:pt idx="328">
                  <c:v>221.99199999999999</c:v>
                </c:pt>
                <c:pt idx="329">
                  <c:v>222.00899999999999</c:v>
                </c:pt>
                <c:pt idx="330">
                  <c:v>222.32300000000001</c:v>
                </c:pt>
                <c:pt idx="331">
                  <c:v>221.75700000000001</c:v>
                </c:pt>
                <c:pt idx="332">
                  <c:v>218.768</c:v>
                </c:pt>
                <c:pt idx="333">
                  <c:v>217.81800000000001</c:v>
                </c:pt>
                <c:pt idx="334">
                  <c:v>218.04300000000001</c:v>
                </c:pt>
                <c:pt idx="335">
                  <c:v>221.56200000000001</c:v>
                </c:pt>
                <c:pt idx="336">
                  <c:v>219.011</c:v>
                </c:pt>
                <c:pt idx="337">
                  <c:v>219.78200000000001</c:v>
                </c:pt>
                <c:pt idx="338">
                  <c:v>222.21700000000001</c:v>
                </c:pt>
                <c:pt idx="339">
                  <c:v>223.33600000000001</c:v>
                </c:pt>
                <c:pt idx="340">
                  <c:v>224.096</c:v>
                </c:pt>
                <c:pt idx="341">
                  <c:v>228.476</c:v>
                </c:pt>
                <c:pt idx="342">
                  <c:v>229.607</c:v>
                </c:pt>
                <c:pt idx="343">
                  <c:v>229.30199999999999</c:v>
                </c:pt>
                <c:pt idx="344">
                  <c:v>230.47300000000001</c:v>
                </c:pt>
                <c:pt idx="345">
                  <c:v>233.29900000000001</c:v>
                </c:pt>
                <c:pt idx="346">
                  <c:v>233.08799999999999</c:v>
                </c:pt>
                <c:pt idx="347">
                  <c:v>230.357</c:v>
                </c:pt>
                <c:pt idx="348">
                  <c:v>230.876</c:v>
                </c:pt>
                <c:pt idx="349">
                  <c:v>232.55699999999999</c:v>
                </c:pt>
                <c:pt idx="350">
                  <c:v>234.04300000000001</c:v>
                </c:pt>
                <c:pt idx="351">
                  <c:v>233.16399999999999</c:v>
                </c:pt>
                <c:pt idx="352">
                  <c:v>235.15299999999999</c:v>
                </c:pt>
                <c:pt idx="353">
                  <c:v>235.41499999999999</c:v>
                </c:pt>
                <c:pt idx="354">
                  <c:v>234.119</c:v>
                </c:pt>
                <c:pt idx="355">
                  <c:v>231.244</c:v>
                </c:pt>
                <c:pt idx="356">
                  <c:v>230.99600000000001</c:v>
                </c:pt>
                <c:pt idx="357">
                  <c:v>231.827</c:v>
                </c:pt>
                <c:pt idx="358">
                  <c:v>230.53399999999999</c:v>
                </c:pt>
                <c:pt idx="359">
                  <c:v>230.96600000000001</c:v>
                </c:pt>
                <c:pt idx="360">
                  <c:v>231.22900000000001</c:v>
                </c:pt>
                <c:pt idx="361">
                  <c:v>228.43600000000001</c:v>
                </c:pt>
                <c:pt idx="362">
                  <c:v>230.45400000000001</c:v>
                </c:pt>
                <c:pt idx="363">
                  <c:v>228.37</c:v>
                </c:pt>
                <c:pt idx="364">
                  <c:v>227.45</c:v>
                </c:pt>
                <c:pt idx="365">
                  <c:v>225.42500000000001</c:v>
                </c:pt>
                <c:pt idx="366">
                  <c:v>223.89699999999999</c:v>
                </c:pt>
                <c:pt idx="367">
                  <c:v>223.45599999999999</c:v>
                </c:pt>
                <c:pt idx="368">
                  <c:v>224.58099999999999</c:v>
                </c:pt>
                <c:pt idx="369">
                  <c:v>225.6</c:v>
                </c:pt>
                <c:pt idx="370">
                  <c:v>223.14500000000001</c:v>
                </c:pt>
                <c:pt idx="371">
                  <c:v>224.89400000000001</c:v>
                </c:pt>
                <c:pt idx="372">
                  <c:v>224.31700000000001</c:v>
                </c:pt>
                <c:pt idx="373">
                  <c:v>222.84200000000001</c:v>
                </c:pt>
                <c:pt idx="374">
                  <c:v>224.08099999999999</c:v>
                </c:pt>
                <c:pt idx="375">
                  <c:v>222.63900000000001</c:v>
                </c:pt>
                <c:pt idx="376">
                  <c:v>221.02</c:v>
                </c:pt>
                <c:pt idx="377">
                  <c:v>221.68199999999999</c:v>
                </c:pt>
                <c:pt idx="378">
                  <c:v>221.321</c:v>
                </c:pt>
                <c:pt idx="379">
                  <c:v>221.34899999999999</c:v>
                </c:pt>
                <c:pt idx="380">
                  <c:v>223.35900000000001</c:v>
                </c:pt>
                <c:pt idx="381">
                  <c:v>223.584</c:v>
                </c:pt>
                <c:pt idx="382">
                  <c:v>224.39599999999999</c:v>
                </c:pt>
                <c:pt idx="383">
                  <c:v>221.18100000000001</c:v>
                </c:pt>
                <c:pt idx="384">
                  <c:v>220.678</c:v>
                </c:pt>
                <c:pt idx="385">
                  <c:v>219.57</c:v>
                </c:pt>
                <c:pt idx="386">
                  <c:v>215.833</c:v>
                </c:pt>
                <c:pt idx="387">
                  <c:v>216.923</c:v>
                </c:pt>
                <c:pt idx="388">
                  <c:v>214.59100000000001</c:v>
                </c:pt>
                <c:pt idx="389">
                  <c:v>212.78700000000001</c:v>
                </c:pt>
                <c:pt idx="390">
                  <c:v>214.28200000000001</c:v>
                </c:pt>
                <c:pt idx="391">
                  <c:v>211.30199999999999</c:v>
                </c:pt>
                <c:pt idx="392">
                  <c:v>212.673</c:v>
                </c:pt>
                <c:pt idx="393">
                  <c:v>213.75</c:v>
                </c:pt>
                <c:pt idx="394">
                  <c:v>216.63200000000001</c:v>
                </c:pt>
                <c:pt idx="395">
                  <c:v>218.93199999999999</c:v>
                </c:pt>
                <c:pt idx="396">
                  <c:v>219.185</c:v>
                </c:pt>
                <c:pt idx="397">
                  <c:v>220.90799999999999</c:v>
                </c:pt>
                <c:pt idx="398">
                  <c:v>218.255</c:v>
                </c:pt>
                <c:pt idx="399">
                  <c:v>217.09200000000001</c:v>
                </c:pt>
                <c:pt idx="400">
                  <c:v>214.584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739968"/>
        <c:axId val="316742272"/>
      </c:scatterChart>
      <c:valAx>
        <c:axId val="316739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6742272"/>
        <c:crosses val="autoZero"/>
        <c:crossBetween val="midCat"/>
      </c:valAx>
      <c:valAx>
        <c:axId val="316742272"/>
        <c:scaling>
          <c:orientation val="minMax"/>
          <c:min val="2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6739968"/>
        <c:crosses val="autoZero"/>
        <c:crossBetween val="midCat"/>
      </c:valAx>
    </c:plotArea>
    <c:legend>
      <c:legendPos val="b"/>
      <c:layout/>
      <c:overlay val="0"/>
      <c:txPr>
        <a:bodyPr/>
        <a:lstStyle/>
        <a:p>
          <a:pPr>
            <a:defRPr sz="1500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962025</xdr:colOff>
      <xdr:row>2</xdr:row>
      <xdr:rowOff>161925</xdr:rowOff>
    </xdr:from>
    <xdr:to>
      <xdr:col>3</xdr:col>
      <xdr:colOff>671512</xdr:colOff>
      <xdr:row>17</xdr:row>
      <xdr:rowOff>66675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02"/>
  <sheetViews>
    <sheetView tabSelected="1" workbookViewId="0">
      <selection activeCell="G12" sqref="G12"/>
    </sheetView>
  </sheetViews>
  <sheetFormatPr defaultRowHeight="16.5" x14ac:dyDescent="0.3"/>
  <cols>
    <col min="2" max="2" width="31.875" customWidth="1"/>
    <col min="3" max="3" width="37.75" bestFit="1" customWidth="1"/>
  </cols>
  <sheetData>
    <row r="1" spans="1:19" x14ac:dyDescent="0.3">
      <c r="A1" t="s">
        <v>0</v>
      </c>
      <c r="B1" t="s">
        <v>1</v>
      </c>
      <c r="C1" t="s">
        <v>2</v>
      </c>
      <c r="D1" s="1">
        <f>_xlfn.STDEV.P(D3:D402)*SQRT(360)</f>
        <v>0.19748329862447106</v>
      </c>
      <c r="E1" s="1">
        <f>_xlfn.STDEV.P(E3:E402)*SQRT(360)</f>
        <v>0.15077966565119258</v>
      </c>
      <c r="I1" s="2">
        <v>0.95</v>
      </c>
      <c r="J1">
        <f>$B$2*I1</f>
        <v>279.28100000000001</v>
      </c>
      <c r="L1">
        <v>180</v>
      </c>
      <c r="O1">
        <f>VLOOKUP(S1,$A$2:$C$402,2,FALSE)</f>
        <v>267.99</v>
      </c>
      <c r="R1">
        <v>1</v>
      </c>
      <c r="S1">
        <f>$L$1*R1</f>
        <v>180</v>
      </c>
    </row>
    <row r="2" spans="1:19" x14ac:dyDescent="0.3">
      <c r="A2">
        <v>0</v>
      </c>
      <c r="B2">
        <v>293.98</v>
      </c>
      <c r="C2">
        <v>293.98</v>
      </c>
      <c r="G2">
        <f>B182</f>
        <v>267.99</v>
      </c>
      <c r="H2">
        <f>C182</f>
        <v>264.23099999999999</v>
      </c>
      <c r="I2" s="2">
        <v>0.9</v>
      </c>
      <c r="J2">
        <f t="shared" ref="J2:J3" si="0">$B$2*I2</f>
        <v>264.58200000000005</v>
      </c>
      <c r="O2">
        <f t="shared" ref="O2:O6" si="1">VLOOKUP(S2,$A$2:$C$402,2,FALSE)</f>
        <v>225.24700000000001</v>
      </c>
      <c r="R2">
        <v>2</v>
      </c>
      <c r="S2">
        <f t="shared" ref="S2:S6" si="2">$L$1*R2</f>
        <v>360</v>
      </c>
    </row>
    <row r="3" spans="1:19" x14ac:dyDescent="0.3">
      <c r="A3">
        <v>1</v>
      </c>
      <c r="B3">
        <v>291.14400000000001</v>
      </c>
      <c r="C3">
        <v>291.12400000000002</v>
      </c>
      <c r="D3">
        <f>LN(B3/B2)</f>
        <v>-9.6937476771137027E-3</v>
      </c>
      <c r="E3">
        <f>LN(C3/C2)</f>
        <v>-9.7624445658586068E-3</v>
      </c>
      <c r="G3">
        <f>B367</f>
        <v>217.136</v>
      </c>
      <c r="H3">
        <f>C367</f>
        <v>225.42500000000001</v>
      </c>
      <c r="I3" s="2">
        <v>0.85</v>
      </c>
      <c r="J3">
        <f t="shared" si="0"/>
        <v>249.88300000000001</v>
      </c>
      <c r="O3" t="e">
        <f t="shared" si="1"/>
        <v>#N/A</v>
      </c>
      <c r="R3">
        <v>3</v>
      </c>
      <c r="S3">
        <f t="shared" si="2"/>
        <v>540</v>
      </c>
    </row>
    <row r="4" spans="1:19" x14ac:dyDescent="0.3">
      <c r="A4">
        <v>2</v>
      </c>
      <c r="B4">
        <v>292.935</v>
      </c>
      <c r="C4">
        <v>292.928</v>
      </c>
      <c r="D4">
        <f t="shared" ref="D4:D67" si="3">LN(B4/B3)</f>
        <v>6.1327512661274149E-3</v>
      </c>
      <c r="E4">
        <f t="shared" ref="E4:E67" si="4">LN(C4/C3)</f>
        <v>6.1775517831937432E-3</v>
      </c>
      <c r="O4" t="e">
        <f t="shared" si="1"/>
        <v>#N/A</v>
      </c>
      <c r="R4">
        <v>4</v>
      </c>
      <c r="S4">
        <f t="shared" si="2"/>
        <v>720</v>
      </c>
    </row>
    <row r="5" spans="1:19" x14ac:dyDescent="0.3">
      <c r="A5">
        <v>3</v>
      </c>
      <c r="B5">
        <v>294.55599999999998</v>
      </c>
      <c r="C5">
        <v>294.56</v>
      </c>
      <c r="D5">
        <f t="shared" si="3"/>
        <v>5.5183964133918685E-3</v>
      </c>
      <c r="E5">
        <f t="shared" si="4"/>
        <v>5.5558724535908228E-3</v>
      </c>
      <c r="O5" t="e">
        <f t="shared" si="1"/>
        <v>#N/A</v>
      </c>
      <c r="R5">
        <v>5</v>
      </c>
      <c r="S5">
        <f t="shared" si="2"/>
        <v>900</v>
      </c>
    </row>
    <row r="6" spans="1:19" x14ac:dyDescent="0.3">
      <c r="A6">
        <v>4</v>
      </c>
      <c r="B6">
        <v>292.60300000000001</v>
      </c>
      <c r="C6">
        <v>292.59300000000002</v>
      </c>
      <c r="D6">
        <f t="shared" si="3"/>
        <v>-6.6523963777941064E-3</v>
      </c>
      <c r="E6">
        <f t="shared" si="4"/>
        <v>-6.7001526298900412E-3</v>
      </c>
      <c r="O6" t="e">
        <f t="shared" si="1"/>
        <v>#N/A</v>
      </c>
      <c r="R6">
        <v>6</v>
      </c>
      <c r="S6">
        <f t="shared" si="2"/>
        <v>1080</v>
      </c>
    </row>
    <row r="7" spans="1:19" x14ac:dyDescent="0.3">
      <c r="A7">
        <v>5</v>
      </c>
      <c r="B7">
        <v>293.08499999999998</v>
      </c>
      <c r="C7">
        <v>293.07799999999997</v>
      </c>
      <c r="D7">
        <f t="shared" si="3"/>
        <v>1.6459278961311701E-3</v>
      </c>
      <c r="E7">
        <f t="shared" si="4"/>
        <v>1.6562203382634239E-3</v>
      </c>
    </row>
    <row r="8" spans="1:19" x14ac:dyDescent="0.3">
      <c r="A8">
        <v>6</v>
      </c>
      <c r="B8">
        <v>290.08300000000003</v>
      </c>
      <c r="C8">
        <v>290.05500000000001</v>
      </c>
      <c r="D8">
        <f t="shared" si="3"/>
        <v>-1.0295580406893332E-2</v>
      </c>
      <c r="E8">
        <f t="shared" si="4"/>
        <v>-1.0368225022476285E-2</v>
      </c>
    </row>
    <row r="9" spans="1:19" x14ac:dyDescent="0.3">
      <c r="A9">
        <v>7</v>
      </c>
      <c r="B9">
        <v>287.73500000000001</v>
      </c>
      <c r="C9">
        <v>287.69</v>
      </c>
      <c r="D9">
        <f t="shared" si="3"/>
        <v>-8.1271712682808115E-3</v>
      </c>
      <c r="E9">
        <f t="shared" si="4"/>
        <v>-8.1870486461699168E-3</v>
      </c>
    </row>
    <row r="10" spans="1:19" x14ac:dyDescent="0.3">
      <c r="A10">
        <v>8</v>
      </c>
      <c r="B10">
        <v>285.233</v>
      </c>
      <c r="C10">
        <v>285.17200000000003</v>
      </c>
      <c r="D10">
        <f t="shared" si="3"/>
        <v>-8.7335275380604378E-3</v>
      </c>
      <c r="E10">
        <f t="shared" si="4"/>
        <v>-8.7910045220960312E-3</v>
      </c>
    </row>
    <row r="11" spans="1:19" x14ac:dyDescent="0.3">
      <c r="A11">
        <v>9</v>
      </c>
      <c r="B11">
        <v>287.81400000000002</v>
      </c>
      <c r="C11">
        <v>287.13499999999999</v>
      </c>
      <c r="D11">
        <f t="shared" si="3"/>
        <v>9.0080480410798629E-3</v>
      </c>
      <c r="E11">
        <f t="shared" si="4"/>
        <v>6.8599814369508984E-3</v>
      </c>
    </row>
    <row r="12" spans="1:19" x14ac:dyDescent="0.3">
      <c r="A12">
        <v>10</v>
      </c>
      <c r="B12">
        <v>287.286</v>
      </c>
      <c r="C12">
        <v>286.60500000000002</v>
      </c>
      <c r="D12">
        <f t="shared" si="3"/>
        <v>-1.8362029155007062E-3</v>
      </c>
      <c r="E12">
        <f t="shared" si="4"/>
        <v>-1.8475272798011502E-3</v>
      </c>
    </row>
    <row r="13" spans="1:19" x14ac:dyDescent="0.3">
      <c r="A13">
        <v>11</v>
      </c>
      <c r="B13">
        <v>288.55399999999997</v>
      </c>
      <c r="C13">
        <v>287.87900000000002</v>
      </c>
      <c r="D13">
        <f t="shared" si="3"/>
        <v>4.404008229490013E-3</v>
      </c>
      <c r="E13">
        <f t="shared" si="4"/>
        <v>4.4352918044372139E-3</v>
      </c>
    </row>
    <row r="14" spans="1:19" x14ac:dyDescent="0.3">
      <c r="A14">
        <v>12</v>
      </c>
      <c r="B14">
        <v>285.74099999999999</v>
      </c>
      <c r="C14">
        <v>285.053</v>
      </c>
      <c r="D14">
        <f t="shared" si="3"/>
        <v>-9.7964373605024177E-3</v>
      </c>
      <c r="E14">
        <f t="shared" si="4"/>
        <v>-9.8651250723855183E-3</v>
      </c>
    </row>
    <row r="15" spans="1:19" x14ac:dyDescent="0.3">
      <c r="A15">
        <v>13</v>
      </c>
      <c r="B15">
        <v>290.416</v>
      </c>
      <c r="C15">
        <v>288.59500000000003</v>
      </c>
      <c r="D15">
        <f t="shared" si="3"/>
        <v>1.6228571735705414E-2</v>
      </c>
      <c r="E15">
        <f t="shared" si="4"/>
        <v>1.2349193280765468E-2</v>
      </c>
    </row>
    <row r="16" spans="1:19" x14ac:dyDescent="0.3">
      <c r="A16">
        <v>14</v>
      </c>
      <c r="B16">
        <v>291.50700000000001</v>
      </c>
      <c r="C16">
        <v>289.68599999999998</v>
      </c>
      <c r="D16">
        <f t="shared" si="3"/>
        <v>3.7496413727273869E-3</v>
      </c>
      <c r="E16">
        <f t="shared" si="4"/>
        <v>3.7732565808751709E-3</v>
      </c>
    </row>
    <row r="17" spans="1:5" x14ac:dyDescent="0.3">
      <c r="A17">
        <v>15</v>
      </c>
      <c r="B17">
        <v>291.61399999999998</v>
      </c>
      <c r="C17">
        <v>289.79300000000001</v>
      </c>
      <c r="D17">
        <f t="shared" si="3"/>
        <v>3.6699073160069391E-4</v>
      </c>
      <c r="E17">
        <f t="shared" si="4"/>
        <v>3.6929725224244458E-4</v>
      </c>
    </row>
    <row r="18" spans="1:5" x14ac:dyDescent="0.3">
      <c r="A18">
        <v>16</v>
      </c>
      <c r="B18">
        <v>290.69200000000001</v>
      </c>
      <c r="C18">
        <v>288.87</v>
      </c>
      <c r="D18">
        <f t="shared" si="3"/>
        <v>-3.1667225496375476E-3</v>
      </c>
      <c r="E18">
        <f t="shared" si="4"/>
        <v>-3.1901150851809143E-3</v>
      </c>
    </row>
    <row r="19" spans="1:5" x14ac:dyDescent="0.3">
      <c r="A19">
        <v>17</v>
      </c>
      <c r="B19">
        <v>292.512</v>
      </c>
      <c r="C19">
        <v>290.69200000000001</v>
      </c>
      <c r="D19">
        <f t="shared" si="3"/>
        <v>6.2414040650957542E-3</v>
      </c>
      <c r="E19">
        <f t="shared" si="4"/>
        <v>6.2875274860100788E-3</v>
      </c>
    </row>
    <row r="20" spans="1:5" x14ac:dyDescent="0.3">
      <c r="A20">
        <v>18</v>
      </c>
      <c r="B20">
        <v>293.55799999999999</v>
      </c>
      <c r="C20">
        <v>291.73899999999998</v>
      </c>
      <c r="D20">
        <f t="shared" si="3"/>
        <v>3.5695432649546673E-3</v>
      </c>
      <c r="E20">
        <f t="shared" si="4"/>
        <v>3.5952795362755871E-3</v>
      </c>
    </row>
    <row r="21" spans="1:5" x14ac:dyDescent="0.3">
      <c r="A21">
        <v>19</v>
      </c>
      <c r="B21">
        <v>294.21199999999999</v>
      </c>
      <c r="C21">
        <v>292.39299999999997</v>
      </c>
      <c r="D21">
        <f t="shared" si="3"/>
        <v>2.2253611783406655E-3</v>
      </c>
      <c r="E21">
        <f t="shared" si="4"/>
        <v>2.2392208379919776E-3</v>
      </c>
    </row>
    <row r="22" spans="1:5" x14ac:dyDescent="0.3">
      <c r="A22">
        <v>20</v>
      </c>
      <c r="B22">
        <v>293.94900000000001</v>
      </c>
      <c r="C22">
        <v>292.12900000000002</v>
      </c>
      <c r="D22">
        <f t="shared" si="3"/>
        <v>-8.9431301133135359E-4</v>
      </c>
      <c r="E22">
        <f t="shared" si="4"/>
        <v>-9.0330224679636831E-4</v>
      </c>
    </row>
    <row r="23" spans="1:5" x14ac:dyDescent="0.3">
      <c r="A23">
        <v>21</v>
      </c>
      <c r="B23">
        <v>295.61200000000002</v>
      </c>
      <c r="C23">
        <v>293.79399999999998</v>
      </c>
      <c r="D23">
        <f t="shared" si="3"/>
        <v>5.6415007458918316E-3</v>
      </c>
      <c r="E23">
        <f t="shared" si="4"/>
        <v>5.6833559416399025E-3</v>
      </c>
    </row>
    <row r="24" spans="1:5" x14ac:dyDescent="0.3">
      <c r="A24">
        <v>22</v>
      </c>
      <c r="B24">
        <v>298.25700000000001</v>
      </c>
      <c r="C24">
        <v>296.44099999999997</v>
      </c>
      <c r="D24">
        <f t="shared" si="3"/>
        <v>8.9077472964243891E-3</v>
      </c>
      <c r="E24">
        <f t="shared" si="4"/>
        <v>8.9693689659631134E-3</v>
      </c>
    </row>
    <row r="25" spans="1:5" x14ac:dyDescent="0.3">
      <c r="A25">
        <v>23</v>
      </c>
      <c r="B25">
        <v>296.98099999999999</v>
      </c>
      <c r="C25">
        <v>295.16300000000001</v>
      </c>
      <c r="D25">
        <f t="shared" si="3"/>
        <v>-4.2873672533255101E-3</v>
      </c>
      <c r="E25">
        <f t="shared" si="4"/>
        <v>-4.3204643240147261E-3</v>
      </c>
    </row>
    <row r="26" spans="1:5" x14ac:dyDescent="0.3">
      <c r="A26">
        <v>24</v>
      </c>
      <c r="B26">
        <v>292.68099999999998</v>
      </c>
      <c r="C26">
        <v>290.86</v>
      </c>
      <c r="D26">
        <f t="shared" si="3"/>
        <v>-1.4584884981536862E-2</v>
      </c>
      <c r="E26">
        <f t="shared" si="4"/>
        <v>-1.4685694367807796E-2</v>
      </c>
    </row>
    <row r="27" spans="1:5" x14ac:dyDescent="0.3">
      <c r="A27">
        <v>25</v>
      </c>
      <c r="B27">
        <v>289.68</v>
      </c>
      <c r="C27">
        <v>287.85700000000003</v>
      </c>
      <c r="D27">
        <f t="shared" si="3"/>
        <v>-1.0306413253440158E-2</v>
      </c>
      <c r="E27">
        <f t="shared" si="4"/>
        <v>-1.0378222702132791E-2</v>
      </c>
    </row>
    <row r="28" spans="1:5" x14ac:dyDescent="0.3">
      <c r="A28">
        <v>26</v>
      </c>
      <c r="B28">
        <v>289.92399999999998</v>
      </c>
      <c r="C28">
        <v>288.10000000000002</v>
      </c>
      <c r="D28">
        <f t="shared" si="3"/>
        <v>8.4195421154438022E-4</v>
      </c>
      <c r="E28">
        <f t="shared" si="4"/>
        <v>8.4381304305147472E-4</v>
      </c>
    </row>
    <row r="29" spans="1:5" x14ac:dyDescent="0.3">
      <c r="A29">
        <v>27</v>
      </c>
      <c r="B29">
        <v>292.66899999999998</v>
      </c>
      <c r="C29">
        <v>290.84800000000001</v>
      </c>
      <c r="D29">
        <f t="shared" si="3"/>
        <v>9.4234579314432607E-3</v>
      </c>
      <c r="E29">
        <f t="shared" si="4"/>
        <v>9.4931518458770524E-3</v>
      </c>
    </row>
    <row r="30" spans="1:5" x14ac:dyDescent="0.3">
      <c r="A30">
        <v>28</v>
      </c>
      <c r="B30">
        <v>290.61799999999999</v>
      </c>
      <c r="C30">
        <v>288.79500000000002</v>
      </c>
      <c r="D30">
        <f t="shared" si="3"/>
        <v>-7.0325875703310045E-3</v>
      </c>
      <c r="E30">
        <f t="shared" si="4"/>
        <v>-7.0837000869512909E-3</v>
      </c>
    </row>
    <row r="31" spans="1:5" x14ac:dyDescent="0.3">
      <c r="A31">
        <v>29</v>
      </c>
      <c r="B31">
        <v>286.76100000000002</v>
      </c>
      <c r="C31">
        <v>284.93599999999998</v>
      </c>
      <c r="D31">
        <f t="shared" si="3"/>
        <v>-1.33605738147377E-2</v>
      </c>
      <c r="E31">
        <f t="shared" si="4"/>
        <v>-1.3452500201954196E-2</v>
      </c>
    </row>
    <row r="32" spans="1:5" x14ac:dyDescent="0.3">
      <c r="A32">
        <v>30</v>
      </c>
      <c r="B32">
        <v>286.346</v>
      </c>
      <c r="C32">
        <v>284.52</v>
      </c>
      <c r="D32">
        <f t="shared" si="3"/>
        <v>-1.4482463921595952E-3</v>
      </c>
      <c r="E32">
        <f t="shared" si="4"/>
        <v>-1.4610437821400517E-3</v>
      </c>
    </row>
    <row r="33" spans="1:5" x14ac:dyDescent="0.3">
      <c r="A33">
        <v>31</v>
      </c>
      <c r="B33">
        <v>282.58800000000002</v>
      </c>
      <c r="C33">
        <v>281.68299999999999</v>
      </c>
      <c r="D33">
        <f t="shared" si="3"/>
        <v>-1.3210863319300811E-2</v>
      </c>
      <c r="E33">
        <f t="shared" si="4"/>
        <v>-1.0021224691818386E-2</v>
      </c>
    </row>
    <row r="34" spans="1:5" x14ac:dyDescent="0.3">
      <c r="A34">
        <v>32</v>
      </c>
      <c r="B34">
        <v>285.70400000000001</v>
      </c>
      <c r="C34">
        <v>284.04599999999999</v>
      </c>
      <c r="D34">
        <f t="shared" si="3"/>
        <v>1.0966303334909167E-2</v>
      </c>
      <c r="E34">
        <f t="shared" si="4"/>
        <v>8.3538717026753594E-3</v>
      </c>
    </row>
    <row r="35" spans="1:5" x14ac:dyDescent="0.3">
      <c r="A35">
        <v>33</v>
      </c>
      <c r="B35">
        <v>288.23500000000001</v>
      </c>
      <c r="C35">
        <v>285.96100000000001</v>
      </c>
      <c r="D35">
        <f t="shared" si="3"/>
        <v>8.8198097950644531E-3</v>
      </c>
      <c r="E35">
        <f t="shared" si="4"/>
        <v>6.7192410089518453E-3</v>
      </c>
    </row>
    <row r="36" spans="1:5" x14ac:dyDescent="0.3">
      <c r="A36">
        <v>34</v>
      </c>
      <c r="B36">
        <v>290.30099999999999</v>
      </c>
      <c r="C36">
        <v>288.02499999999998</v>
      </c>
      <c r="D36">
        <f t="shared" si="3"/>
        <v>7.1421961031995712E-3</v>
      </c>
      <c r="E36">
        <f t="shared" si="4"/>
        <v>7.1918440389941076E-3</v>
      </c>
    </row>
    <row r="37" spans="1:5" x14ac:dyDescent="0.3">
      <c r="A37">
        <v>35</v>
      </c>
      <c r="B37">
        <v>289.58600000000001</v>
      </c>
      <c r="C37">
        <v>287.31099999999998</v>
      </c>
      <c r="D37">
        <f t="shared" si="3"/>
        <v>-2.4659989354311085E-3</v>
      </c>
      <c r="E37">
        <f t="shared" si="4"/>
        <v>-2.4820291674703615E-3</v>
      </c>
    </row>
    <row r="38" spans="1:5" x14ac:dyDescent="0.3">
      <c r="A38">
        <v>36</v>
      </c>
      <c r="B38">
        <v>289.50299999999999</v>
      </c>
      <c r="C38">
        <v>287.22800000000001</v>
      </c>
      <c r="D38">
        <f t="shared" si="3"/>
        <v>-2.8665714792854214E-4</v>
      </c>
      <c r="E38">
        <f t="shared" si="4"/>
        <v>-2.8892729850316828E-4</v>
      </c>
    </row>
    <row r="39" spans="1:5" x14ac:dyDescent="0.3">
      <c r="A39">
        <v>37</v>
      </c>
      <c r="B39">
        <v>288.97399999999999</v>
      </c>
      <c r="C39">
        <v>286.69900000000001</v>
      </c>
      <c r="D39">
        <f t="shared" si="3"/>
        <v>-1.8289409862789026E-3</v>
      </c>
      <c r="E39">
        <f t="shared" si="4"/>
        <v>-1.8434405414179255E-3</v>
      </c>
    </row>
    <row r="40" spans="1:5" x14ac:dyDescent="0.3">
      <c r="A40">
        <v>38</v>
      </c>
      <c r="B40">
        <v>291.84899999999999</v>
      </c>
      <c r="C40">
        <v>289.57100000000003</v>
      </c>
      <c r="D40">
        <f t="shared" si="3"/>
        <v>9.8998265588703307E-3</v>
      </c>
      <c r="E40">
        <f t="shared" si="4"/>
        <v>9.9676324591323126E-3</v>
      </c>
    </row>
    <row r="41" spans="1:5" x14ac:dyDescent="0.3">
      <c r="A41">
        <v>39</v>
      </c>
      <c r="B41">
        <v>285.85199999999998</v>
      </c>
      <c r="C41">
        <v>283.58</v>
      </c>
      <c r="D41">
        <f t="shared" si="3"/>
        <v>-2.0762350864167323E-2</v>
      </c>
      <c r="E41">
        <f t="shared" si="4"/>
        <v>-2.0906247066446192E-2</v>
      </c>
    </row>
    <row r="42" spans="1:5" x14ac:dyDescent="0.3">
      <c r="A42">
        <v>40</v>
      </c>
      <c r="B42">
        <v>286.10599999999999</v>
      </c>
      <c r="C42">
        <v>283.77600000000001</v>
      </c>
      <c r="D42">
        <f t="shared" si="3"/>
        <v>8.8817716230046601E-4</v>
      </c>
      <c r="E42">
        <f t="shared" si="4"/>
        <v>6.9092424437976977E-4</v>
      </c>
    </row>
    <row r="43" spans="1:5" x14ac:dyDescent="0.3">
      <c r="A43">
        <v>41</v>
      </c>
      <c r="B43">
        <v>289.39499999999998</v>
      </c>
      <c r="C43">
        <v>286.25799999999998</v>
      </c>
      <c r="D43">
        <f t="shared" si="3"/>
        <v>1.143016539866322E-2</v>
      </c>
      <c r="E43">
        <f t="shared" si="4"/>
        <v>8.708307522384124E-3</v>
      </c>
    </row>
    <row r="44" spans="1:5" x14ac:dyDescent="0.3">
      <c r="A44">
        <v>42</v>
      </c>
      <c r="B44">
        <v>287.767</v>
      </c>
      <c r="C44">
        <v>284.63600000000002</v>
      </c>
      <c r="D44">
        <f t="shared" si="3"/>
        <v>-5.6414120044672826E-3</v>
      </c>
      <c r="E44">
        <f t="shared" si="4"/>
        <v>-5.6823310960661278E-3</v>
      </c>
    </row>
    <row r="45" spans="1:5" x14ac:dyDescent="0.3">
      <c r="A45">
        <v>43</v>
      </c>
      <c r="B45">
        <v>287.70800000000003</v>
      </c>
      <c r="C45">
        <v>284.577</v>
      </c>
      <c r="D45">
        <f t="shared" si="3"/>
        <v>-2.0504800454129677E-4</v>
      </c>
      <c r="E45">
        <f t="shared" si="4"/>
        <v>-2.0730376927908736E-4</v>
      </c>
    </row>
    <row r="46" spans="1:5" x14ac:dyDescent="0.3">
      <c r="A46">
        <v>44</v>
      </c>
      <c r="B46">
        <v>290.05799999999999</v>
      </c>
      <c r="C46">
        <v>286.91699999999997</v>
      </c>
      <c r="D46">
        <f t="shared" si="3"/>
        <v>8.1348260691487696E-3</v>
      </c>
      <c r="E46">
        <f t="shared" si="4"/>
        <v>8.1891081165374885E-3</v>
      </c>
    </row>
    <row r="47" spans="1:5" x14ac:dyDescent="0.3">
      <c r="A47">
        <v>45</v>
      </c>
      <c r="B47">
        <v>290.05099999999999</v>
      </c>
      <c r="C47">
        <v>286.91000000000003</v>
      </c>
      <c r="D47">
        <f t="shared" si="3"/>
        <v>-2.4133395621675649E-5</v>
      </c>
      <c r="E47">
        <f t="shared" si="4"/>
        <v>-2.4397597186223046E-5</v>
      </c>
    </row>
    <row r="48" spans="1:5" x14ac:dyDescent="0.3">
      <c r="A48">
        <v>46</v>
      </c>
      <c r="B48">
        <v>291.84899999999999</v>
      </c>
      <c r="C48">
        <v>288.702</v>
      </c>
      <c r="D48">
        <f t="shared" si="3"/>
        <v>6.1797756386853028E-3</v>
      </c>
      <c r="E48">
        <f t="shared" si="4"/>
        <v>6.226436521223718E-3</v>
      </c>
    </row>
    <row r="49" spans="1:5" x14ac:dyDescent="0.3">
      <c r="A49">
        <v>47</v>
      </c>
      <c r="B49">
        <v>297.01799999999997</v>
      </c>
      <c r="C49">
        <v>294.053</v>
      </c>
      <c r="D49">
        <f t="shared" si="3"/>
        <v>1.7556197800582998E-2</v>
      </c>
      <c r="E49">
        <f t="shared" si="4"/>
        <v>1.8365008949055565E-2</v>
      </c>
    </row>
    <row r="50" spans="1:5" x14ac:dyDescent="0.3">
      <c r="A50">
        <v>48</v>
      </c>
      <c r="B50">
        <v>294.28300000000002</v>
      </c>
      <c r="C50">
        <v>291.21899999999999</v>
      </c>
      <c r="D50">
        <f t="shared" si="3"/>
        <v>-9.2508536420248064E-3</v>
      </c>
      <c r="E50">
        <f t="shared" si="4"/>
        <v>-9.6844617536923899E-3</v>
      </c>
    </row>
    <row r="51" spans="1:5" x14ac:dyDescent="0.3">
      <c r="A51">
        <v>49</v>
      </c>
      <c r="B51">
        <v>296.74799999999999</v>
      </c>
      <c r="C51">
        <v>293.77</v>
      </c>
      <c r="D51">
        <f t="shared" si="3"/>
        <v>8.3414044023926263E-3</v>
      </c>
      <c r="E51">
        <f t="shared" si="4"/>
        <v>8.7215868002972433E-3</v>
      </c>
    </row>
    <row r="52" spans="1:5" x14ac:dyDescent="0.3">
      <c r="A52">
        <v>50</v>
      </c>
      <c r="B52">
        <v>297.32499999999999</v>
      </c>
      <c r="C52">
        <v>294.36700000000002</v>
      </c>
      <c r="D52">
        <f t="shared" si="3"/>
        <v>1.9425228261085285E-3</v>
      </c>
      <c r="E52">
        <f t="shared" si="4"/>
        <v>2.030139933529402E-3</v>
      </c>
    </row>
    <row r="53" spans="1:5" x14ac:dyDescent="0.3">
      <c r="A53">
        <v>51</v>
      </c>
      <c r="B53">
        <v>298.25400000000002</v>
      </c>
      <c r="C53">
        <v>295.32900000000001</v>
      </c>
      <c r="D53">
        <f t="shared" si="3"/>
        <v>3.1196558422593246E-3</v>
      </c>
      <c r="E53">
        <f t="shared" si="4"/>
        <v>3.2627009625007634E-3</v>
      </c>
    </row>
    <row r="54" spans="1:5" x14ac:dyDescent="0.3">
      <c r="A54">
        <v>52</v>
      </c>
      <c r="B54">
        <v>298.41199999999998</v>
      </c>
      <c r="C54">
        <v>295.49099999999999</v>
      </c>
      <c r="D54">
        <f t="shared" si="3"/>
        <v>5.2960954266892879E-4</v>
      </c>
      <c r="E54">
        <f t="shared" si="4"/>
        <v>5.4839038644554088E-4</v>
      </c>
    </row>
    <row r="55" spans="1:5" x14ac:dyDescent="0.3">
      <c r="A55">
        <v>53</v>
      </c>
      <c r="B55">
        <v>302.33699999999999</v>
      </c>
      <c r="C55">
        <v>299.55900000000003</v>
      </c>
      <c r="D55">
        <f t="shared" si="3"/>
        <v>1.3067207269404099E-2</v>
      </c>
      <c r="E55">
        <f t="shared" si="4"/>
        <v>1.3673013616649904E-2</v>
      </c>
    </row>
    <row r="56" spans="1:5" x14ac:dyDescent="0.3">
      <c r="A56">
        <v>54</v>
      </c>
      <c r="B56">
        <v>301.03500000000003</v>
      </c>
      <c r="C56">
        <v>297.923</v>
      </c>
      <c r="D56">
        <f t="shared" si="3"/>
        <v>-4.315752208884872E-3</v>
      </c>
      <c r="E56">
        <f t="shared" si="4"/>
        <v>-5.476329290788816E-3</v>
      </c>
    </row>
    <row r="57" spans="1:5" x14ac:dyDescent="0.3">
      <c r="A57">
        <v>55</v>
      </c>
      <c r="B57">
        <v>296.25400000000002</v>
      </c>
      <c r="C57">
        <v>292.97399999999999</v>
      </c>
      <c r="D57">
        <f t="shared" si="3"/>
        <v>-1.6009342590863222E-2</v>
      </c>
      <c r="E57">
        <f t="shared" si="4"/>
        <v>-1.6751195977078911E-2</v>
      </c>
    </row>
    <row r="58" spans="1:5" x14ac:dyDescent="0.3">
      <c r="A58">
        <v>56</v>
      </c>
      <c r="B58">
        <v>297.53100000000001</v>
      </c>
      <c r="C58">
        <v>294.29399999999998</v>
      </c>
      <c r="D58">
        <f t="shared" si="3"/>
        <v>4.3012267698457791E-3</v>
      </c>
      <c r="E58">
        <f t="shared" si="4"/>
        <v>4.4953997934413384E-3</v>
      </c>
    </row>
    <row r="59" spans="1:5" x14ac:dyDescent="0.3">
      <c r="A59">
        <v>57</v>
      </c>
      <c r="B59">
        <v>294.46300000000002</v>
      </c>
      <c r="C59">
        <v>291.11900000000003</v>
      </c>
      <c r="D59">
        <f t="shared" si="3"/>
        <v>-1.0365062711371061E-2</v>
      </c>
      <c r="E59">
        <f t="shared" si="4"/>
        <v>-1.0847149383378302E-2</v>
      </c>
    </row>
    <row r="60" spans="1:5" x14ac:dyDescent="0.3">
      <c r="A60">
        <v>58</v>
      </c>
      <c r="B60">
        <v>291.27999999999997</v>
      </c>
      <c r="C60">
        <v>287.827</v>
      </c>
      <c r="D60">
        <f t="shared" si="3"/>
        <v>-1.0868354659189772E-2</v>
      </c>
      <c r="E60">
        <f t="shared" si="4"/>
        <v>-1.1372513086075946E-2</v>
      </c>
    </row>
    <row r="61" spans="1:5" x14ac:dyDescent="0.3">
      <c r="A61">
        <v>59</v>
      </c>
      <c r="B61">
        <v>291.45100000000002</v>
      </c>
      <c r="C61">
        <v>288.00200000000001</v>
      </c>
      <c r="D61">
        <f t="shared" si="3"/>
        <v>5.8689173875532631E-4</v>
      </c>
      <c r="E61">
        <f t="shared" si="4"/>
        <v>6.0781935396696132E-4</v>
      </c>
    </row>
    <row r="62" spans="1:5" x14ac:dyDescent="0.3">
      <c r="A62">
        <v>60</v>
      </c>
      <c r="B62">
        <v>292.87200000000001</v>
      </c>
      <c r="C62">
        <v>289.471</v>
      </c>
      <c r="D62">
        <f t="shared" si="3"/>
        <v>4.8637578917147635E-3</v>
      </c>
      <c r="E62">
        <f t="shared" si="4"/>
        <v>5.0876947275792644E-3</v>
      </c>
    </row>
    <row r="63" spans="1:5" x14ac:dyDescent="0.3">
      <c r="A63">
        <v>61</v>
      </c>
      <c r="B63">
        <v>292.86700000000002</v>
      </c>
      <c r="C63">
        <v>289.46499999999997</v>
      </c>
      <c r="D63">
        <f t="shared" si="3"/>
        <v>-1.7072450358005939E-5</v>
      </c>
      <c r="E63">
        <f t="shared" si="4"/>
        <v>-2.0727679744408645E-5</v>
      </c>
    </row>
    <row r="64" spans="1:5" x14ac:dyDescent="0.3">
      <c r="A64">
        <v>62</v>
      </c>
      <c r="B64">
        <v>291.40499999999997</v>
      </c>
      <c r="C64">
        <v>287.952</v>
      </c>
      <c r="D64">
        <f t="shared" si="3"/>
        <v>-5.004528888436572E-3</v>
      </c>
      <c r="E64">
        <f t="shared" si="4"/>
        <v>-5.2405920252657431E-3</v>
      </c>
    </row>
    <row r="65" spans="1:5" x14ac:dyDescent="0.3">
      <c r="A65">
        <v>63</v>
      </c>
      <c r="B65">
        <v>296.38200000000001</v>
      </c>
      <c r="C65">
        <v>293.101</v>
      </c>
      <c r="D65">
        <f t="shared" si="3"/>
        <v>1.6935110674073991E-2</v>
      </c>
      <c r="E65">
        <f t="shared" si="4"/>
        <v>1.7723459937024358E-2</v>
      </c>
    </row>
    <row r="66" spans="1:5" x14ac:dyDescent="0.3">
      <c r="A66">
        <v>64</v>
      </c>
      <c r="B66">
        <v>294.678</v>
      </c>
      <c r="C66">
        <v>291.33699999999999</v>
      </c>
      <c r="D66">
        <f t="shared" si="3"/>
        <v>-5.765928064558363E-3</v>
      </c>
      <c r="E66">
        <f t="shared" si="4"/>
        <v>-6.0365867952893032E-3</v>
      </c>
    </row>
    <row r="67" spans="1:5" x14ac:dyDescent="0.3">
      <c r="A67">
        <v>65</v>
      </c>
      <c r="B67">
        <v>294.90600000000001</v>
      </c>
      <c r="C67">
        <v>291.572</v>
      </c>
      <c r="D67">
        <f t="shared" si="3"/>
        <v>7.7342672584605548E-4</v>
      </c>
      <c r="E67">
        <f t="shared" si="4"/>
        <v>8.0630085564479973E-4</v>
      </c>
    </row>
    <row r="68" spans="1:5" x14ac:dyDescent="0.3">
      <c r="A68">
        <v>66</v>
      </c>
      <c r="B68">
        <v>293.14100000000002</v>
      </c>
      <c r="C68">
        <v>289.74700000000001</v>
      </c>
      <c r="D68">
        <f t="shared" ref="D68:D131" si="5">LN(B68/B67)</f>
        <v>-6.0029395615873943E-3</v>
      </c>
      <c r="E68">
        <f t="shared" ref="E68:E131" si="6">LN(C68/C67)</f>
        <v>-6.2788451632017576E-3</v>
      </c>
    </row>
    <row r="69" spans="1:5" x14ac:dyDescent="0.3">
      <c r="A69">
        <v>67</v>
      </c>
      <c r="B69">
        <v>294.197</v>
      </c>
      <c r="C69">
        <v>290.839</v>
      </c>
      <c r="D69">
        <f t="shared" si="5"/>
        <v>3.5958890379185252E-3</v>
      </c>
      <c r="E69">
        <f t="shared" si="6"/>
        <v>3.7617210463196851E-3</v>
      </c>
    </row>
    <row r="70" spans="1:5" x14ac:dyDescent="0.3">
      <c r="A70">
        <v>68</v>
      </c>
      <c r="B70">
        <v>293.23500000000001</v>
      </c>
      <c r="C70">
        <v>289.84399999999999</v>
      </c>
      <c r="D70">
        <f t="shared" si="5"/>
        <v>-3.2752756403538435E-3</v>
      </c>
      <c r="E70">
        <f t="shared" si="6"/>
        <v>-3.4270022501148136E-3</v>
      </c>
    </row>
    <row r="71" spans="1:5" x14ac:dyDescent="0.3">
      <c r="A71">
        <v>69</v>
      </c>
      <c r="B71">
        <v>293.017</v>
      </c>
      <c r="C71">
        <v>289.61799999999999</v>
      </c>
      <c r="D71">
        <f t="shared" si="5"/>
        <v>-7.4370751843241649E-4</v>
      </c>
      <c r="E71">
        <f t="shared" si="6"/>
        <v>-7.8003393305932519E-4</v>
      </c>
    </row>
    <row r="72" spans="1:5" x14ac:dyDescent="0.3">
      <c r="A72">
        <v>70</v>
      </c>
      <c r="B72">
        <v>293.517</v>
      </c>
      <c r="C72">
        <v>290.13499999999999</v>
      </c>
      <c r="D72">
        <f t="shared" si="5"/>
        <v>1.7049314144321325E-3</v>
      </c>
      <c r="E72">
        <f t="shared" si="6"/>
        <v>1.7835186261923094E-3</v>
      </c>
    </row>
    <row r="73" spans="1:5" x14ac:dyDescent="0.3">
      <c r="A73">
        <v>71</v>
      </c>
      <c r="B73">
        <v>294.476</v>
      </c>
      <c r="C73">
        <v>291.12700000000001</v>
      </c>
      <c r="D73">
        <f t="shared" si="5"/>
        <v>3.2619464869028257E-3</v>
      </c>
      <c r="E73">
        <f t="shared" si="6"/>
        <v>3.4132661797894796E-3</v>
      </c>
    </row>
    <row r="74" spans="1:5" x14ac:dyDescent="0.3">
      <c r="A74">
        <v>72</v>
      </c>
      <c r="B74">
        <v>297.78199999999998</v>
      </c>
      <c r="C74">
        <v>294.54700000000003</v>
      </c>
      <c r="D74">
        <f t="shared" si="5"/>
        <v>1.1164169459542586E-2</v>
      </c>
      <c r="E74">
        <f t="shared" si="6"/>
        <v>1.1678984805667288E-2</v>
      </c>
    </row>
    <row r="75" spans="1:5" x14ac:dyDescent="0.3">
      <c r="A75">
        <v>73</v>
      </c>
      <c r="B75">
        <v>298.45499999999998</v>
      </c>
      <c r="C75">
        <v>295.24400000000003</v>
      </c>
      <c r="D75">
        <f t="shared" si="5"/>
        <v>2.2574925266829683E-3</v>
      </c>
      <c r="E75">
        <f t="shared" si="6"/>
        <v>2.3635502219428082E-3</v>
      </c>
    </row>
    <row r="76" spans="1:5" x14ac:dyDescent="0.3">
      <c r="A76">
        <v>74</v>
      </c>
      <c r="B76">
        <v>299.11200000000002</v>
      </c>
      <c r="C76">
        <v>295.923</v>
      </c>
      <c r="D76">
        <f t="shared" si="5"/>
        <v>2.198917492864529E-3</v>
      </c>
      <c r="E76">
        <f t="shared" si="6"/>
        <v>2.2971522381493629E-3</v>
      </c>
    </row>
    <row r="77" spans="1:5" x14ac:dyDescent="0.3">
      <c r="A77">
        <v>75</v>
      </c>
      <c r="B77">
        <v>299.13900000000001</v>
      </c>
      <c r="C77">
        <v>295.952</v>
      </c>
      <c r="D77">
        <f t="shared" si="5"/>
        <v>9.0263117047175161E-5</v>
      </c>
      <c r="E77">
        <f t="shared" si="6"/>
        <v>9.7993664281192277E-5</v>
      </c>
    </row>
    <row r="78" spans="1:5" x14ac:dyDescent="0.3">
      <c r="A78">
        <v>76</v>
      </c>
      <c r="B78">
        <v>297.49200000000002</v>
      </c>
      <c r="C78">
        <v>294.24700000000001</v>
      </c>
      <c r="D78">
        <f t="shared" si="5"/>
        <v>-5.5210144414135987E-3</v>
      </c>
      <c r="E78">
        <f t="shared" si="6"/>
        <v>-5.7777283358451175E-3</v>
      </c>
    </row>
    <row r="79" spans="1:5" x14ac:dyDescent="0.3">
      <c r="A79">
        <v>77</v>
      </c>
      <c r="B79">
        <v>296.83100000000002</v>
      </c>
      <c r="C79">
        <v>293.57400000000001</v>
      </c>
      <c r="D79">
        <f t="shared" si="5"/>
        <v>-2.2243805894946122E-3</v>
      </c>
      <c r="E79">
        <f t="shared" si="6"/>
        <v>-2.2898137155996446E-3</v>
      </c>
    </row>
    <row r="80" spans="1:5" x14ac:dyDescent="0.3">
      <c r="A80">
        <v>78</v>
      </c>
      <c r="B80">
        <v>294.53899999999999</v>
      </c>
      <c r="C80">
        <v>291.24299999999999</v>
      </c>
      <c r="D80">
        <f t="shared" si="5"/>
        <v>-7.7515311106729984E-3</v>
      </c>
      <c r="E80">
        <f t="shared" si="6"/>
        <v>-7.971766704431343E-3</v>
      </c>
    </row>
    <row r="81" spans="1:5" x14ac:dyDescent="0.3">
      <c r="A81">
        <v>79</v>
      </c>
      <c r="B81">
        <v>290.70499999999998</v>
      </c>
      <c r="C81">
        <v>287.34199999999998</v>
      </c>
      <c r="D81">
        <f t="shared" si="5"/>
        <v>-1.3102414888336173E-2</v>
      </c>
      <c r="E81">
        <f t="shared" si="6"/>
        <v>-1.3484826302617098E-2</v>
      </c>
    </row>
    <row r="82" spans="1:5" x14ac:dyDescent="0.3">
      <c r="A82">
        <v>80</v>
      </c>
      <c r="B82">
        <v>291.03500000000003</v>
      </c>
      <c r="C82">
        <v>287.678</v>
      </c>
      <c r="D82">
        <f t="shared" si="5"/>
        <v>1.1345275738189262E-3</v>
      </c>
      <c r="E82">
        <f t="shared" si="6"/>
        <v>1.1686551363122904E-3</v>
      </c>
    </row>
    <row r="83" spans="1:5" x14ac:dyDescent="0.3">
      <c r="A83">
        <v>81</v>
      </c>
      <c r="B83">
        <v>293.39100000000002</v>
      </c>
      <c r="C83">
        <v>290.07400000000001</v>
      </c>
      <c r="D83">
        <f t="shared" si="5"/>
        <v>8.0626555386386339E-3</v>
      </c>
      <c r="E83">
        <f t="shared" si="6"/>
        <v>8.2942637533574594E-3</v>
      </c>
    </row>
    <row r="84" spans="1:5" x14ac:dyDescent="0.3">
      <c r="A84">
        <v>82</v>
      </c>
      <c r="B84">
        <v>296.601</v>
      </c>
      <c r="C84">
        <v>293.34100000000001</v>
      </c>
      <c r="D84">
        <f t="shared" si="5"/>
        <v>1.0881610850542364E-2</v>
      </c>
      <c r="E84">
        <f t="shared" si="6"/>
        <v>1.1199691982860369E-2</v>
      </c>
    </row>
    <row r="85" spans="1:5" x14ac:dyDescent="0.3">
      <c r="A85">
        <v>83</v>
      </c>
      <c r="B85">
        <v>297.97199999999998</v>
      </c>
      <c r="C85">
        <v>294.73599999999999</v>
      </c>
      <c r="D85">
        <f t="shared" si="5"/>
        <v>4.611721117053367E-3</v>
      </c>
      <c r="E85">
        <f t="shared" si="6"/>
        <v>4.7442855836312449E-3</v>
      </c>
    </row>
    <row r="86" spans="1:5" x14ac:dyDescent="0.3">
      <c r="A86">
        <v>84</v>
      </c>
      <c r="B86">
        <v>295.50900000000001</v>
      </c>
      <c r="C86">
        <v>292.22899999999998</v>
      </c>
      <c r="D86">
        <f t="shared" si="5"/>
        <v>-8.3002291242243592E-3</v>
      </c>
      <c r="E86">
        <f t="shared" si="6"/>
        <v>-8.5422989268954443E-3</v>
      </c>
    </row>
    <row r="87" spans="1:5" x14ac:dyDescent="0.3">
      <c r="A87">
        <v>85</v>
      </c>
      <c r="B87">
        <v>294.69099999999997</v>
      </c>
      <c r="C87">
        <v>291.39800000000002</v>
      </c>
      <c r="D87">
        <f t="shared" si="5"/>
        <v>-2.771943489563564E-3</v>
      </c>
      <c r="E87">
        <f t="shared" si="6"/>
        <v>-2.8477111633968379E-3</v>
      </c>
    </row>
    <row r="88" spans="1:5" x14ac:dyDescent="0.3">
      <c r="A88">
        <v>86</v>
      </c>
      <c r="B88">
        <v>293.13499999999999</v>
      </c>
      <c r="C88">
        <v>289.815</v>
      </c>
      <c r="D88">
        <f t="shared" si="5"/>
        <v>-5.2940959883523474E-3</v>
      </c>
      <c r="E88">
        <f t="shared" si="6"/>
        <v>-5.4472419381125072E-3</v>
      </c>
    </row>
    <row r="89" spans="1:5" x14ac:dyDescent="0.3">
      <c r="A89">
        <v>87</v>
      </c>
      <c r="B89">
        <v>292.42899999999997</v>
      </c>
      <c r="C89">
        <v>289.09699999999998</v>
      </c>
      <c r="D89">
        <f t="shared" si="5"/>
        <v>-2.4113515929711058E-3</v>
      </c>
      <c r="E89">
        <f t="shared" si="6"/>
        <v>-2.4805164451667723E-3</v>
      </c>
    </row>
    <row r="90" spans="1:5" x14ac:dyDescent="0.3">
      <c r="A90">
        <v>88</v>
      </c>
      <c r="B90">
        <v>292.37</v>
      </c>
      <c r="C90">
        <v>289.03699999999998</v>
      </c>
      <c r="D90">
        <f t="shared" si="5"/>
        <v>-2.0177873149623916E-4</v>
      </c>
      <c r="E90">
        <f t="shared" si="6"/>
        <v>-2.0756433704092976E-4</v>
      </c>
    </row>
    <row r="91" spans="1:5" x14ac:dyDescent="0.3">
      <c r="A91">
        <v>89</v>
      </c>
      <c r="B91">
        <v>288.39999999999998</v>
      </c>
      <c r="C91">
        <v>284.99900000000002</v>
      </c>
      <c r="D91">
        <f t="shared" si="5"/>
        <v>-1.367171802196715E-2</v>
      </c>
      <c r="E91">
        <f t="shared" si="6"/>
        <v>-1.4069036108683805E-2</v>
      </c>
    </row>
    <row r="92" spans="1:5" x14ac:dyDescent="0.3">
      <c r="A92">
        <v>90</v>
      </c>
      <c r="B92">
        <v>285.762</v>
      </c>
      <c r="C92">
        <v>282.31700000000001</v>
      </c>
      <c r="D92">
        <f t="shared" si="5"/>
        <v>-9.1891088669725837E-3</v>
      </c>
      <c r="E92">
        <f t="shared" si="6"/>
        <v>-9.455118419737259E-3</v>
      </c>
    </row>
    <row r="93" spans="1:5" x14ac:dyDescent="0.3">
      <c r="A93">
        <v>91</v>
      </c>
      <c r="B93">
        <v>287.24599999999998</v>
      </c>
      <c r="C93">
        <v>283.58999999999997</v>
      </c>
      <c r="D93">
        <f t="shared" si="5"/>
        <v>5.179694935781555E-3</v>
      </c>
      <c r="E93">
        <f t="shared" si="6"/>
        <v>4.4989800345746319E-3</v>
      </c>
    </row>
    <row r="94" spans="1:5" x14ac:dyDescent="0.3">
      <c r="A94">
        <v>92</v>
      </c>
      <c r="B94">
        <v>289.64800000000002</v>
      </c>
      <c r="C94">
        <v>286.02999999999997</v>
      </c>
      <c r="D94">
        <f t="shared" si="5"/>
        <v>8.3274011539853244E-3</v>
      </c>
      <c r="E94">
        <f t="shared" si="6"/>
        <v>8.5671673182382245E-3</v>
      </c>
    </row>
    <row r="95" spans="1:5" x14ac:dyDescent="0.3">
      <c r="A95">
        <v>93</v>
      </c>
      <c r="B95">
        <v>291.137</v>
      </c>
      <c r="C95">
        <v>287.54300000000001</v>
      </c>
      <c r="D95">
        <f t="shared" si="5"/>
        <v>5.1275541288915392E-3</v>
      </c>
      <c r="E95">
        <f t="shared" si="6"/>
        <v>5.2757138473937164E-3</v>
      </c>
    </row>
    <row r="96" spans="1:5" x14ac:dyDescent="0.3">
      <c r="A96">
        <v>94</v>
      </c>
      <c r="B96">
        <v>294.46800000000002</v>
      </c>
      <c r="C96">
        <v>290.928</v>
      </c>
      <c r="D96">
        <f t="shared" si="5"/>
        <v>1.1376391681739649E-2</v>
      </c>
      <c r="E96">
        <f t="shared" si="6"/>
        <v>1.1703399606004415E-2</v>
      </c>
    </row>
    <row r="97" spans="1:5" x14ac:dyDescent="0.3">
      <c r="A97">
        <v>95</v>
      </c>
      <c r="B97">
        <v>296.149</v>
      </c>
      <c r="C97">
        <v>292.637</v>
      </c>
      <c r="D97">
        <f t="shared" si="5"/>
        <v>5.6923676058244993E-3</v>
      </c>
      <c r="E97">
        <f t="shared" si="6"/>
        <v>5.8571192094157044E-3</v>
      </c>
    </row>
    <row r="98" spans="1:5" x14ac:dyDescent="0.3">
      <c r="A98">
        <v>96</v>
      </c>
      <c r="B98">
        <v>292.43299999999999</v>
      </c>
      <c r="C98">
        <v>288.858</v>
      </c>
      <c r="D98">
        <f t="shared" si="5"/>
        <v>-1.2627125445401944E-2</v>
      </c>
      <c r="E98">
        <f t="shared" si="6"/>
        <v>-1.2997715206703366E-2</v>
      </c>
    </row>
    <row r="99" spans="1:5" x14ac:dyDescent="0.3">
      <c r="A99">
        <v>97</v>
      </c>
      <c r="B99">
        <v>290.60399999999998</v>
      </c>
      <c r="C99">
        <v>286.99900000000002</v>
      </c>
      <c r="D99">
        <f t="shared" si="5"/>
        <v>-6.2740649382770448E-3</v>
      </c>
      <c r="E99">
        <f t="shared" si="6"/>
        <v>-6.4564864467578148E-3</v>
      </c>
    </row>
    <row r="100" spans="1:5" x14ac:dyDescent="0.3">
      <c r="A100">
        <v>98</v>
      </c>
      <c r="B100">
        <v>290.94900000000001</v>
      </c>
      <c r="C100">
        <v>287.34899999999999</v>
      </c>
      <c r="D100">
        <f t="shared" si="5"/>
        <v>1.186478413737975E-3</v>
      </c>
      <c r="E100">
        <f t="shared" si="6"/>
        <v>1.2187734381399079E-3</v>
      </c>
    </row>
    <row r="101" spans="1:5" x14ac:dyDescent="0.3">
      <c r="A101">
        <v>99</v>
      </c>
      <c r="B101">
        <v>293.137</v>
      </c>
      <c r="C101">
        <v>289.572</v>
      </c>
      <c r="D101">
        <f t="shared" si="5"/>
        <v>7.492082448808308E-3</v>
      </c>
      <c r="E101">
        <f t="shared" si="6"/>
        <v>7.7064658832512048E-3</v>
      </c>
    </row>
    <row r="102" spans="1:5" x14ac:dyDescent="0.3">
      <c r="A102">
        <v>100</v>
      </c>
      <c r="B102">
        <v>293.803</v>
      </c>
      <c r="C102">
        <v>290.24900000000002</v>
      </c>
      <c r="D102">
        <f t="shared" si="5"/>
        <v>2.2693981866435823E-3</v>
      </c>
      <c r="E102">
        <f t="shared" si="6"/>
        <v>2.3352045119105218E-3</v>
      </c>
    </row>
    <row r="103" spans="1:5" x14ac:dyDescent="0.3">
      <c r="A103">
        <v>101</v>
      </c>
      <c r="B103">
        <v>292.61599999999999</v>
      </c>
      <c r="C103">
        <v>289.04199999999997</v>
      </c>
      <c r="D103">
        <f t="shared" si="5"/>
        <v>-4.048305464600447E-3</v>
      </c>
      <c r="E103">
        <f t="shared" si="6"/>
        <v>-4.1671689933351153E-3</v>
      </c>
    </row>
    <row r="104" spans="1:5" x14ac:dyDescent="0.3">
      <c r="A104">
        <v>102</v>
      </c>
      <c r="B104">
        <v>293.435</v>
      </c>
      <c r="C104">
        <v>289.87400000000002</v>
      </c>
      <c r="D104">
        <f t="shared" si="5"/>
        <v>2.7949804135244125E-3</v>
      </c>
      <c r="E104">
        <f t="shared" si="6"/>
        <v>2.8743395339567348E-3</v>
      </c>
    </row>
    <row r="105" spans="1:5" x14ac:dyDescent="0.3">
      <c r="A105">
        <v>103</v>
      </c>
      <c r="B105">
        <v>293.45400000000001</v>
      </c>
      <c r="C105">
        <v>289.89299999999997</v>
      </c>
      <c r="D105">
        <f t="shared" si="5"/>
        <v>6.4748189203285022E-5</v>
      </c>
      <c r="E105">
        <f t="shared" si="6"/>
        <v>6.5543571837556371E-5</v>
      </c>
    </row>
    <row r="106" spans="1:5" x14ac:dyDescent="0.3">
      <c r="A106">
        <v>104</v>
      </c>
      <c r="B106">
        <v>291.90300000000002</v>
      </c>
      <c r="C106">
        <v>288.31599999999997</v>
      </c>
      <c r="D106">
        <f t="shared" si="5"/>
        <v>-5.2993425541340228E-3</v>
      </c>
      <c r="E106">
        <f t="shared" si="6"/>
        <v>-5.4547885289364358E-3</v>
      </c>
    </row>
    <row r="107" spans="1:5" x14ac:dyDescent="0.3">
      <c r="A107">
        <v>105</v>
      </c>
      <c r="B107">
        <v>292.61700000000002</v>
      </c>
      <c r="C107">
        <v>289.041</v>
      </c>
      <c r="D107">
        <f t="shared" si="5"/>
        <v>2.4430313936902306E-3</v>
      </c>
      <c r="E107">
        <f t="shared" si="6"/>
        <v>2.5114457123395564E-3</v>
      </c>
    </row>
    <row r="108" spans="1:5" x14ac:dyDescent="0.3">
      <c r="A108">
        <v>106</v>
      </c>
      <c r="B108">
        <v>291.47500000000002</v>
      </c>
      <c r="C108">
        <v>287.87900000000002</v>
      </c>
      <c r="D108">
        <f t="shared" si="5"/>
        <v>-3.9103478738829892E-3</v>
      </c>
      <c r="E108">
        <f t="shared" si="6"/>
        <v>-4.0282935981714174E-3</v>
      </c>
    </row>
    <row r="109" spans="1:5" x14ac:dyDescent="0.3">
      <c r="A109">
        <v>107</v>
      </c>
      <c r="B109">
        <v>288.41300000000001</v>
      </c>
      <c r="C109">
        <v>284.767</v>
      </c>
      <c r="D109">
        <f t="shared" si="5"/>
        <v>-1.0560758141525817E-2</v>
      </c>
      <c r="E109">
        <f t="shared" si="6"/>
        <v>-1.0868950926220181E-2</v>
      </c>
    </row>
    <row r="110" spans="1:5" x14ac:dyDescent="0.3">
      <c r="A110">
        <v>108</v>
      </c>
      <c r="B110">
        <v>284.00599999999997</v>
      </c>
      <c r="C110">
        <v>280.29000000000002</v>
      </c>
      <c r="D110">
        <f t="shared" si="5"/>
        <v>-1.5398115979226879E-2</v>
      </c>
      <c r="E110">
        <f t="shared" si="6"/>
        <v>-1.5846520564791588E-2</v>
      </c>
    </row>
    <row r="111" spans="1:5" x14ac:dyDescent="0.3">
      <c r="A111">
        <v>109</v>
      </c>
      <c r="B111">
        <v>287.19</v>
      </c>
      <c r="C111">
        <v>283.02100000000002</v>
      </c>
      <c r="D111">
        <f t="shared" si="5"/>
        <v>1.114865292776899E-2</v>
      </c>
      <c r="E111">
        <f t="shared" si="6"/>
        <v>9.6963183642091236E-3</v>
      </c>
    </row>
    <row r="112" spans="1:5" x14ac:dyDescent="0.3">
      <c r="A112">
        <v>110</v>
      </c>
      <c r="B112">
        <v>283.92500000000001</v>
      </c>
      <c r="C112">
        <v>279.70999999999998</v>
      </c>
      <c r="D112">
        <f t="shared" si="5"/>
        <v>-1.1433898848661465E-2</v>
      </c>
      <c r="E112">
        <f t="shared" si="6"/>
        <v>-1.17677476763151E-2</v>
      </c>
    </row>
    <row r="113" spans="1:5" x14ac:dyDescent="0.3">
      <c r="A113">
        <v>111</v>
      </c>
      <c r="B113">
        <v>284.142</v>
      </c>
      <c r="C113">
        <v>279.89800000000002</v>
      </c>
      <c r="D113">
        <f t="shared" si="5"/>
        <v>7.6399442514709585E-4</v>
      </c>
      <c r="E113">
        <f t="shared" si="6"/>
        <v>6.7189892593655658E-4</v>
      </c>
    </row>
    <row r="114" spans="1:5" x14ac:dyDescent="0.3">
      <c r="A114">
        <v>112</v>
      </c>
      <c r="B114">
        <v>286.15100000000001</v>
      </c>
      <c r="C114">
        <v>281.61900000000003</v>
      </c>
      <c r="D114">
        <f t="shared" si="5"/>
        <v>7.0455303167752704E-3</v>
      </c>
      <c r="E114">
        <f t="shared" si="6"/>
        <v>6.1298425118863596E-3</v>
      </c>
    </row>
    <row r="115" spans="1:5" x14ac:dyDescent="0.3">
      <c r="A115">
        <v>113</v>
      </c>
      <c r="B115">
        <v>290.25200000000001</v>
      </c>
      <c r="C115">
        <v>285.12400000000002</v>
      </c>
      <c r="D115">
        <f t="shared" si="5"/>
        <v>1.4229867646170354E-2</v>
      </c>
      <c r="E115">
        <f t="shared" si="6"/>
        <v>1.2369079766041199E-2</v>
      </c>
    </row>
    <row r="116" spans="1:5" x14ac:dyDescent="0.3">
      <c r="A116">
        <v>114</v>
      </c>
      <c r="B116">
        <v>289.14800000000002</v>
      </c>
      <c r="C116">
        <v>284.00700000000001</v>
      </c>
      <c r="D116">
        <f t="shared" si="5"/>
        <v>-3.8108434106737536E-3</v>
      </c>
      <c r="E116">
        <f t="shared" si="6"/>
        <v>-3.9252876199565518E-3</v>
      </c>
    </row>
    <row r="117" spans="1:5" x14ac:dyDescent="0.3">
      <c r="A117">
        <v>115</v>
      </c>
      <c r="B117">
        <v>285.29000000000002</v>
      </c>
      <c r="C117">
        <v>280.10899999999998</v>
      </c>
      <c r="D117">
        <f t="shared" si="5"/>
        <v>-1.3432460973663183E-2</v>
      </c>
      <c r="E117">
        <f t="shared" si="6"/>
        <v>-1.3820072613265391E-2</v>
      </c>
    </row>
    <row r="118" spans="1:5" x14ac:dyDescent="0.3">
      <c r="A118">
        <v>116</v>
      </c>
      <c r="B118">
        <v>281.959</v>
      </c>
      <c r="C118">
        <v>277.26900000000001</v>
      </c>
      <c r="D118">
        <f t="shared" si="5"/>
        <v>-1.1744536484434827E-2</v>
      </c>
      <c r="E118">
        <f t="shared" si="6"/>
        <v>-1.0190659041727348E-2</v>
      </c>
    </row>
    <row r="119" spans="1:5" x14ac:dyDescent="0.3">
      <c r="A119">
        <v>117</v>
      </c>
      <c r="B119">
        <v>279.92099999999999</v>
      </c>
      <c r="C119">
        <v>275.52999999999997</v>
      </c>
      <c r="D119">
        <f t="shared" si="5"/>
        <v>-7.2542497947081456E-3</v>
      </c>
      <c r="E119">
        <f t="shared" si="6"/>
        <v>-6.2916385032578516E-3</v>
      </c>
    </row>
    <row r="120" spans="1:5" x14ac:dyDescent="0.3">
      <c r="A120">
        <v>118</v>
      </c>
      <c r="B120">
        <v>280.00700000000001</v>
      </c>
      <c r="C120">
        <v>275.60700000000003</v>
      </c>
      <c r="D120">
        <f t="shared" si="5"/>
        <v>3.0718235443221809E-4</v>
      </c>
      <c r="E120">
        <f t="shared" si="6"/>
        <v>2.7942235959850525E-4</v>
      </c>
    </row>
    <row r="121" spans="1:5" x14ac:dyDescent="0.3">
      <c r="A121">
        <v>119</v>
      </c>
      <c r="B121">
        <v>279.55599999999998</v>
      </c>
      <c r="C121">
        <v>275.22399999999999</v>
      </c>
      <c r="D121">
        <f t="shared" si="5"/>
        <v>-1.6119725487877198E-3</v>
      </c>
      <c r="E121">
        <f t="shared" si="6"/>
        <v>-1.390626387119898E-3</v>
      </c>
    </row>
    <row r="122" spans="1:5" x14ac:dyDescent="0.3">
      <c r="A122">
        <v>120</v>
      </c>
      <c r="B122">
        <v>279.214</v>
      </c>
      <c r="C122">
        <v>274.93400000000003</v>
      </c>
      <c r="D122">
        <f t="shared" si="5"/>
        <v>-1.2241174104057173E-3</v>
      </c>
      <c r="E122">
        <f t="shared" si="6"/>
        <v>-1.0542426970414048E-3</v>
      </c>
    </row>
    <row r="123" spans="1:5" x14ac:dyDescent="0.3">
      <c r="A123">
        <v>121</v>
      </c>
      <c r="B123">
        <v>276.90199999999999</v>
      </c>
      <c r="C123">
        <v>272.95800000000003</v>
      </c>
      <c r="D123">
        <f t="shared" si="5"/>
        <v>-8.3148599226056559E-3</v>
      </c>
      <c r="E123">
        <f t="shared" si="6"/>
        <v>-7.2131316663823193E-3</v>
      </c>
    </row>
    <row r="124" spans="1:5" x14ac:dyDescent="0.3">
      <c r="A124">
        <v>122</v>
      </c>
      <c r="B124">
        <v>275.48399999999998</v>
      </c>
      <c r="C124">
        <v>271.74700000000001</v>
      </c>
      <c r="D124">
        <f t="shared" si="5"/>
        <v>-5.1341022935213624E-3</v>
      </c>
      <c r="E124">
        <f t="shared" si="6"/>
        <v>-4.4464508136154235E-3</v>
      </c>
    </row>
    <row r="125" spans="1:5" x14ac:dyDescent="0.3">
      <c r="A125">
        <v>123</v>
      </c>
      <c r="B125">
        <v>270.49</v>
      </c>
      <c r="C125">
        <v>267.46600000000001</v>
      </c>
      <c r="D125">
        <f t="shared" si="5"/>
        <v>-1.8294421654962666E-2</v>
      </c>
      <c r="E125">
        <f t="shared" si="6"/>
        <v>-1.5879030927887786E-2</v>
      </c>
    </row>
    <row r="126" spans="1:5" x14ac:dyDescent="0.3">
      <c r="A126">
        <v>124</v>
      </c>
      <c r="B126">
        <v>271.91800000000001</v>
      </c>
      <c r="C126">
        <v>268.45699999999999</v>
      </c>
      <c r="D126">
        <f t="shared" si="5"/>
        <v>5.26542122989751E-3</v>
      </c>
      <c r="E126">
        <f t="shared" si="6"/>
        <v>3.6982966938342134E-3</v>
      </c>
    </row>
    <row r="127" spans="1:5" x14ac:dyDescent="0.3">
      <c r="A127">
        <v>125</v>
      </c>
      <c r="B127">
        <v>272.38900000000001</v>
      </c>
      <c r="C127">
        <v>268.78800000000001</v>
      </c>
      <c r="D127">
        <f t="shared" si="5"/>
        <v>1.7306414121385373E-3</v>
      </c>
      <c r="E127">
        <f t="shared" si="6"/>
        <v>1.232212647418369E-3</v>
      </c>
    </row>
    <row r="128" spans="1:5" x14ac:dyDescent="0.3">
      <c r="A128">
        <v>126</v>
      </c>
      <c r="B128">
        <v>267.23599999999999</v>
      </c>
      <c r="C128">
        <v>264.36900000000003</v>
      </c>
      <c r="D128">
        <f t="shared" si="5"/>
        <v>-1.9099028542438837E-2</v>
      </c>
      <c r="E128">
        <f t="shared" si="6"/>
        <v>-1.6577110287784295E-2</v>
      </c>
    </row>
    <row r="129" spans="1:5" x14ac:dyDescent="0.3">
      <c r="A129">
        <v>127</v>
      </c>
      <c r="B129">
        <v>264.267</v>
      </c>
      <c r="C129">
        <v>262.32100000000003</v>
      </c>
      <c r="D129">
        <f t="shared" si="5"/>
        <v>-1.1172207427026277E-2</v>
      </c>
      <c r="E129">
        <f t="shared" si="6"/>
        <v>-7.7769098405716542E-3</v>
      </c>
    </row>
    <row r="130" spans="1:5" x14ac:dyDescent="0.3">
      <c r="A130">
        <v>128</v>
      </c>
      <c r="B130">
        <v>263.36</v>
      </c>
      <c r="C130">
        <v>261.69900000000001</v>
      </c>
      <c r="D130">
        <f t="shared" si="5"/>
        <v>-3.4380382103375122E-3</v>
      </c>
      <c r="E130">
        <f t="shared" si="6"/>
        <v>-2.3739563074518786E-3</v>
      </c>
    </row>
    <row r="131" spans="1:5" x14ac:dyDescent="0.3">
      <c r="A131">
        <v>129</v>
      </c>
      <c r="B131">
        <v>263.96499999999997</v>
      </c>
      <c r="C131">
        <v>262.12400000000002</v>
      </c>
      <c r="D131">
        <f t="shared" si="5"/>
        <v>2.2946011110927915E-3</v>
      </c>
      <c r="E131">
        <f t="shared" si="6"/>
        <v>1.6226858815133569E-3</v>
      </c>
    </row>
    <row r="132" spans="1:5" x14ac:dyDescent="0.3">
      <c r="A132">
        <v>130</v>
      </c>
      <c r="B132">
        <v>268.03899999999999</v>
      </c>
      <c r="C132">
        <v>264.94900000000001</v>
      </c>
      <c r="D132">
        <f t="shared" ref="D132:D195" si="7">LN(B132/B131)</f>
        <v>1.5315973711762956E-2</v>
      </c>
      <c r="E132">
        <f t="shared" ref="E132:E195" si="8">LN(C132/C131)</f>
        <v>1.0719680393576179E-2</v>
      </c>
    </row>
    <row r="133" spans="1:5" x14ac:dyDescent="0.3">
      <c r="A133">
        <v>131</v>
      </c>
      <c r="B133">
        <v>274.73099999999999</v>
      </c>
      <c r="C133">
        <v>269.55700000000002</v>
      </c>
      <c r="D133">
        <f t="shared" si="7"/>
        <v>2.4659944804777269E-2</v>
      </c>
      <c r="E133">
        <f t="shared" si="8"/>
        <v>1.7242516133811624E-2</v>
      </c>
    </row>
    <row r="134" spans="1:5" x14ac:dyDescent="0.3">
      <c r="A134">
        <v>132</v>
      </c>
      <c r="B134">
        <v>275.48899999999998</v>
      </c>
      <c r="C134">
        <v>270.20600000000002</v>
      </c>
      <c r="D134">
        <f t="shared" si="7"/>
        <v>2.7552632747923226E-3</v>
      </c>
      <c r="E134">
        <f t="shared" si="8"/>
        <v>2.4047602846322125E-3</v>
      </c>
    </row>
    <row r="135" spans="1:5" x14ac:dyDescent="0.3">
      <c r="A135">
        <v>133</v>
      </c>
      <c r="B135">
        <v>270.01400000000001</v>
      </c>
      <c r="C135">
        <v>265.53800000000001</v>
      </c>
      <c r="D135">
        <f t="shared" si="7"/>
        <v>-2.0073890885164519E-2</v>
      </c>
      <c r="E135">
        <f t="shared" si="8"/>
        <v>-1.7426674435611147E-2</v>
      </c>
    </row>
    <row r="136" spans="1:5" x14ac:dyDescent="0.3">
      <c r="A136">
        <v>134</v>
      </c>
      <c r="B136">
        <v>269.21199999999999</v>
      </c>
      <c r="C136">
        <v>264.99299999999999</v>
      </c>
      <c r="D136">
        <f t="shared" si="7"/>
        <v>-2.9746362058656406E-3</v>
      </c>
      <c r="E136">
        <f t="shared" si="8"/>
        <v>-2.0545460744461957E-3</v>
      </c>
    </row>
    <row r="137" spans="1:5" x14ac:dyDescent="0.3">
      <c r="A137">
        <v>135</v>
      </c>
      <c r="B137">
        <v>268.16300000000001</v>
      </c>
      <c r="C137">
        <v>264.27800000000002</v>
      </c>
      <c r="D137">
        <f t="shared" si="7"/>
        <v>-3.9041687181245741E-3</v>
      </c>
      <c r="E137">
        <f t="shared" si="8"/>
        <v>-2.701831141142383E-3</v>
      </c>
    </row>
    <row r="138" spans="1:5" x14ac:dyDescent="0.3">
      <c r="A138">
        <v>136</v>
      </c>
      <c r="B138">
        <v>268.22500000000002</v>
      </c>
      <c r="C138">
        <v>264.32799999999997</v>
      </c>
      <c r="D138">
        <f t="shared" si="7"/>
        <v>2.3117594083438527E-4</v>
      </c>
      <c r="E138">
        <f t="shared" si="8"/>
        <v>1.8917681656687013E-4</v>
      </c>
    </row>
    <row r="139" spans="1:5" x14ac:dyDescent="0.3">
      <c r="A139">
        <v>137</v>
      </c>
      <c r="B139">
        <v>264.73099999999999</v>
      </c>
      <c r="C139">
        <v>261.92500000000001</v>
      </c>
      <c r="D139">
        <f t="shared" si="7"/>
        <v>-1.3111964433391956E-2</v>
      </c>
      <c r="E139">
        <f t="shared" si="8"/>
        <v>-9.1325529793935979E-3</v>
      </c>
    </row>
    <row r="140" spans="1:5" x14ac:dyDescent="0.3">
      <c r="A140">
        <v>138</v>
      </c>
      <c r="B140">
        <v>270.00299999999999</v>
      </c>
      <c r="C140">
        <v>266.06099999999998</v>
      </c>
      <c r="D140">
        <f t="shared" si="7"/>
        <v>1.9718853958339905E-2</v>
      </c>
      <c r="E140">
        <f t="shared" si="8"/>
        <v>1.5667402560370459E-2</v>
      </c>
    </row>
    <row r="141" spans="1:5" x14ac:dyDescent="0.3">
      <c r="A141">
        <v>139</v>
      </c>
      <c r="B141">
        <v>263.767</v>
      </c>
      <c r="C141">
        <v>261.17599999999999</v>
      </c>
      <c r="D141">
        <f t="shared" si="7"/>
        <v>-2.336693235831111E-2</v>
      </c>
      <c r="E141">
        <f t="shared" si="8"/>
        <v>-1.853109623276988E-2</v>
      </c>
    </row>
    <row r="142" spans="1:5" x14ac:dyDescent="0.3">
      <c r="A142">
        <v>140</v>
      </c>
      <c r="B142">
        <v>262.68799999999999</v>
      </c>
      <c r="C142">
        <v>260.33199999999999</v>
      </c>
      <c r="D142">
        <f t="shared" si="7"/>
        <v>-4.0991215235912587E-3</v>
      </c>
      <c r="E142">
        <f t="shared" si="8"/>
        <v>-3.2367700470930646E-3</v>
      </c>
    </row>
    <row r="143" spans="1:5" x14ac:dyDescent="0.3">
      <c r="A143">
        <v>141</v>
      </c>
      <c r="B143">
        <v>263.06400000000002</v>
      </c>
      <c r="C143">
        <v>260.63299999999998</v>
      </c>
      <c r="D143">
        <f t="shared" si="7"/>
        <v>1.4303324156763465E-3</v>
      </c>
      <c r="E143">
        <f t="shared" si="8"/>
        <v>1.1555480060792373E-3</v>
      </c>
    </row>
    <row r="144" spans="1:5" x14ac:dyDescent="0.3">
      <c r="A144">
        <v>142</v>
      </c>
      <c r="B144">
        <v>263.47699999999998</v>
      </c>
      <c r="C144">
        <v>260.96100000000001</v>
      </c>
      <c r="D144">
        <f t="shared" si="7"/>
        <v>1.5687290626800342E-3</v>
      </c>
      <c r="E144">
        <f t="shared" si="8"/>
        <v>1.2576833446513111E-3</v>
      </c>
    </row>
    <row r="145" spans="1:5" x14ac:dyDescent="0.3">
      <c r="A145">
        <v>143</v>
      </c>
      <c r="B145">
        <v>265.87799999999999</v>
      </c>
      <c r="C145">
        <v>262.851</v>
      </c>
      <c r="D145">
        <f t="shared" si="7"/>
        <v>9.0714793104152112E-3</v>
      </c>
      <c r="E145">
        <f t="shared" si="8"/>
        <v>7.2163608391614354E-3</v>
      </c>
    </row>
    <row r="146" spans="1:5" x14ac:dyDescent="0.3">
      <c r="A146">
        <v>144</v>
      </c>
      <c r="B146">
        <v>261.37799999999999</v>
      </c>
      <c r="C146">
        <v>259.31799999999998</v>
      </c>
      <c r="D146">
        <f t="shared" si="7"/>
        <v>-1.7069921509862359E-2</v>
      </c>
      <c r="E146">
        <f t="shared" si="8"/>
        <v>-1.3532223911165151E-2</v>
      </c>
    </row>
    <row r="147" spans="1:5" x14ac:dyDescent="0.3">
      <c r="A147">
        <v>145</v>
      </c>
      <c r="B147">
        <v>260.15300000000002</v>
      </c>
      <c r="C147">
        <v>258.35700000000003</v>
      </c>
      <c r="D147">
        <f t="shared" si="7"/>
        <v>-4.6977159663712303E-3</v>
      </c>
      <c r="E147">
        <f t="shared" si="8"/>
        <v>-3.7127584060053669E-3</v>
      </c>
    </row>
    <row r="148" spans="1:5" x14ac:dyDescent="0.3">
      <c r="A148">
        <v>146</v>
      </c>
      <c r="B148">
        <v>264.16899999999998</v>
      </c>
      <c r="C148">
        <v>261.52199999999999</v>
      </c>
      <c r="D148">
        <f t="shared" si="7"/>
        <v>1.531913037349417E-2</v>
      </c>
      <c r="E148">
        <f t="shared" si="8"/>
        <v>1.2176060593108993E-2</v>
      </c>
    </row>
    <row r="149" spans="1:5" x14ac:dyDescent="0.3">
      <c r="A149">
        <v>147</v>
      </c>
      <c r="B149">
        <v>263.29700000000003</v>
      </c>
      <c r="C149">
        <v>260.83999999999997</v>
      </c>
      <c r="D149">
        <f t="shared" si="7"/>
        <v>-3.3063772618568779E-3</v>
      </c>
      <c r="E149">
        <f t="shared" si="8"/>
        <v>-2.6112174603650186E-3</v>
      </c>
    </row>
    <row r="150" spans="1:5" x14ac:dyDescent="0.3">
      <c r="A150">
        <v>148</v>
      </c>
      <c r="B150">
        <v>264.738</v>
      </c>
      <c r="C150">
        <v>261.97800000000001</v>
      </c>
      <c r="D150">
        <f t="shared" si="7"/>
        <v>5.4579850852038286E-3</v>
      </c>
      <c r="E150">
        <f t="shared" si="8"/>
        <v>4.35333824481356E-3</v>
      </c>
    </row>
    <row r="151" spans="1:5" x14ac:dyDescent="0.3">
      <c r="A151">
        <v>149</v>
      </c>
      <c r="B151">
        <v>265.41800000000001</v>
      </c>
      <c r="C151">
        <v>262.51499999999999</v>
      </c>
      <c r="D151">
        <f t="shared" si="7"/>
        <v>2.5652840782913718E-3</v>
      </c>
      <c r="E151">
        <f t="shared" si="8"/>
        <v>2.0476924864153536E-3</v>
      </c>
    </row>
    <row r="152" spans="1:5" x14ac:dyDescent="0.3">
      <c r="A152">
        <v>150</v>
      </c>
      <c r="B152">
        <v>264.02300000000002</v>
      </c>
      <c r="C152">
        <v>261.42399999999998</v>
      </c>
      <c r="D152">
        <f t="shared" si="7"/>
        <v>-5.2697211899210387E-3</v>
      </c>
      <c r="E152">
        <f t="shared" si="8"/>
        <v>-4.1646129677627231E-3</v>
      </c>
    </row>
    <row r="153" spans="1:5" x14ac:dyDescent="0.3">
      <c r="A153">
        <v>151</v>
      </c>
      <c r="B153">
        <v>268.51</v>
      </c>
      <c r="C153">
        <v>264.94900000000001</v>
      </c>
      <c r="D153">
        <f t="shared" si="7"/>
        <v>1.6851936639634208E-2</v>
      </c>
      <c r="E153">
        <f t="shared" si="8"/>
        <v>1.3393744346143687E-2</v>
      </c>
    </row>
    <row r="154" spans="1:5" x14ac:dyDescent="0.3">
      <c r="A154">
        <v>152</v>
      </c>
      <c r="B154">
        <v>271.613</v>
      </c>
      <c r="C154">
        <v>267.38</v>
      </c>
      <c r="D154">
        <f t="shared" si="7"/>
        <v>1.1490101842460295E-2</v>
      </c>
      <c r="E154">
        <f t="shared" si="8"/>
        <v>9.1335129203651087E-3</v>
      </c>
    </row>
    <row r="155" spans="1:5" x14ac:dyDescent="0.3">
      <c r="A155">
        <v>153</v>
      </c>
      <c r="B155">
        <v>270.08600000000001</v>
      </c>
      <c r="C155">
        <v>266.19099999999997</v>
      </c>
      <c r="D155">
        <f t="shared" si="7"/>
        <v>-5.6378322450604465E-3</v>
      </c>
      <c r="E155">
        <f t="shared" si="8"/>
        <v>-4.4567713315486132E-3</v>
      </c>
    </row>
    <row r="156" spans="1:5" x14ac:dyDescent="0.3">
      <c r="A156">
        <v>154</v>
      </c>
      <c r="B156">
        <v>268.62400000000002</v>
      </c>
      <c r="C156">
        <v>265.04599999999999</v>
      </c>
      <c r="D156">
        <f t="shared" si="7"/>
        <v>-5.4277945065967607E-3</v>
      </c>
      <c r="E156">
        <f t="shared" si="8"/>
        <v>-4.3107003956618364E-3</v>
      </c>
    </row>
    <row r="157" spans="1:5" x14ac:dyDescent="0.3">
      <c r="A157">
        <v>155</v>
      </c>
      <c r="B157">
        <v>268.423</v>
      </c>
      <c r="C157">
        <v>264.88799999999998</v>
      </c>
      <c r="D157">
        <f t="shared" si="7"/>
        <v>-7.4853787242160693E-4</v>
      </c>
      <c r="E157">
        <f t="shared" si="8"/>
        <v>-5.963006890735528E-4</v>
      </c>
    </row>
    <row r="158" spans="1:5" x14ac:dyDescent="0.3">
      <c r="A158">
        <v>156</v>
      </c>
      <c r="B158">
        <v>267.84399999999999</v>
      </c>
      <c r="C158">
        <v>264.43400000000003</v>
      </c>
      <c r="D158">
        <f t="shared" si="7"/>
        <v>-2.1593729428978749E-3</v>
      </c>
      <c r="E158">
        <f t="shared" si="8"/>
        <v>-1.7154023876902924E-3</v>
      </c>
    </row>
    <row r="159" spans="1:5" x14ac:dyDescent="0.3">
      <c r="A159">
        <v>157</v>
      </c>
      <c r="B159">
        <v>269.41699999999997</v>
      </c>
      <c r="C159">
        <v>265.66500000000002</v>
      </c>
      <c r="D159">
        <f t="shared" si="7"/>
        <v>5.8556436988970477E-3</v>
      </c>
      <c r="E159">
        <f t="shared" si="8"/>
        <v>4.6444238257031794E-3</v>
      </c>
    </row>
    <row r="160" spans="1:5" x14ac:dyDescent="0.3">
      <c r="A160">
        <v>158</v>
      </c>
      <c r="B160">
        <v>271.98599999999999</v>
      </c>
      <c r="C160">
        <v>267.673</v>
      </c>
      <c r="D160">
        <f t="shared" si="7"/>
        <v>9.4902292054858482E-3</v>
      </c>
      <c r="E160">
        <f t="shared" si="8"/>
        <v>7.5299696922599378E-3</v>
      </c>
    </row>
    <row r="161" spans="1:5" x14ac:dyDescent="0.3">
      <c r="A161">
        <v>159</v>
      </c>
      <c r="B161">
        <v>276.69900000000001</v>
      </c>
      <c r="C161">
        <v>271.911</v>
      </c>
      <c r="D161">
        <f t="shared" si="7"/>
        <v>1.7179678380837008E-2</v>
      </c>
      <c r="E161">
        <f t="shared" si="8"/>
        <v>1.5708720601154323E-2</v>
      </c>
    </row>
    <row r="162" spans="1:5" x14ac:dyDescent="0.3">
      <c r="A162">
        <v>160</v>
      </c>
      <c r="B162">
        <v>273.83</v>
      </c>
      <c r="C162">
        <v>269.33100000000002</v>
      </c>
      <c r="D162">
        <f t="shared" si="7"/>
        <v>-1.0422796883353937E-2</v>
      </c>
      <c r="E162">
        <f t="shared" si="8"/>
        <v>-9.5337004209975883E-3</v>
      </c>
    </row>
    <row r="163" spans="1:5" x14ac:dyDescent="0.3">
      <c r="A163">
        <v>161</v>
      </c>
      <c r="B163">
        <v>277.822</v>
      </c>
      <c r="C163">
        <v>272.91899999999998</v>
      </c>
      <c r="D163">
        <f t="shared" si="7"/>
        <v>1.4473144968508758E-2</v>
      </c>
      <c r="E163">
        <f t="shared" si="8"/>
        <v>1.3233941414002786E-2</v>
      </c>
    </row>
    <row r="164" spans="1:5" x14ac:dyDescent="0.3">
      <c r="A164">
        <v>162</v>
      </c>
      <c r="B164">
        <v>275.02100000000002</v>
      </c>
      <c r="C164">
        <v>270.40100000000001</v>
      </c>
      <c r="D164">
        <f t="shared" si="7"/>
        <v>-1.0133162461716612E-2</v>
      </c>
      <c r="E164">
        <f t="shared" si="8"/>
        <v>-9.2690054763019808E-3</v>
      </c>
    </row>
    <row r="165" spans="1:5" x14ac:dyDescent="0.3">
      <c r="A165">
        <v>163</v>
      </c>
      <c r="B165">
        <v>275.16800000000001</v>
      </c>
      <c r="C165">
        <v>270.53199999999998</v>
      </c>
      <c r="D165">
        <f t="shared" si="7"/>
        <v>5.3436184110503796E-4</v>
      </c>
      <c r="E165">
        <f t="shared" si="8"/>
        <v>4.8434834835715839E-4</v>
      </c>
    </row>
    <row r="166" spans="1:5" x14ac:dyDescent="0.3">
      <c r="A166">
        <v>164</v>
      </c>
      <c r="B166">
        <v>274.44299999999998</v>
      </c>
      <c r="C166">
        <v>269.88</v>
      </c>
      <c r="D166">
        <f t="shared" si="7"/>
        <v>-2.6382311144277806E-3</v>
      </c>
      <c r="E166">
        <f t="shared" si="8"/>
        <v>-2.4129749759552893E-3</v>
      </c>
    </row>
    <row r="167" spans="1:5" x14ac:dyDescent="0.3">
      <c r="A167">
        <v>165</v>
      </c>
      <c r="B167">
        <v>275.18099999999998</v>
      </c>
      <c r="C167">
        <v>270.54300000000001</v>
      </c>
      <c r="D167">
        <f t="shared" si="7"/>
        <v>2.6854738640371542E-3</v>
      </c>
      <c r="E167">
        <f t="shared" si="8"/>
        <v>2.4536347735859953E-3</v>
      </c>
    </row>
    <row r="168" spans="1:5" x14ac:dyDescent="0.3">
      <c r="A168">
        <v>166</v>
      </c>
      <c r="B168">
        <v>272.315</v>
      </c>
      <c r="C168">
        <v>267.96499999999997</v>
      </c>
      <c r="D168">
        <f t="shared" si="7"/>
        <v>-1.0469578513703257E-2</v>
      </c>
      <c r="E168">
        <f t="shared" si="8"/>
        <v>-9.5746755654121957E-3</v>
      </c>
    </row>
    <row r="169" spans="1:5" x14ac:dyDescent="0.3">
      <c r="A169">
        <v>167</v>
      </c>
      <c r="B169">
        <v>273.51299999999998</v>
      </c>
      <c r="C169">
        <v>269.04199999999997</v>
      </c>
      <c r="D169">
        <f t="shared" si="7"/>
        <v>4.3896682607216875E-3</v>
      </c>
      <c r="E169">
        <f t="shared" si="8"/>
        <v>4.011126275819038E-3</v>
      </c>
    </row>
    <row r="170" spans="1:5" x14ac:dyDescent="0.3">
      <c r="A170">
        <v>168</v>
      </c>
      <c r="B170">
        <v>272.05799999999999</v>
      </c>
      <c r="C170">
        <v>267.733</v>
      </c>
      <c r="D170">
        <f t="shared" si="7"/>
        <v>-5.3338738664128688E-3</v>
      </c>
      <c r="E170">
        <f t="shared" si="8"/>
        <v>-4.8772859945578843E-3</v>
      </c>
    </row>
    <row r="171" spans="1:5" x14ac:dyDescent="0.3">
      <c r="A171">
        <v>169</v>
      </c>
      <c r="B171">
        <v>274.64400000000001</v>
      </c>
      <c r="C171">
        <v>270.05799999999999</v>
      </c>
      <c r="D171">
        <f t="shared" si="7"/>
        <v>9.4604347055013485E-3</v>
      </c>
      <c r="E171">
        <f t="shared" si="8"/>
        <v>8.6465354951312644E-3</v>
      </c>
    </row>
    <row r="172" spans="1:5" x14ac:dyDescent="0.3">
      <c r="A172">
        <v>170</v>
      </c>
      <c r="B172">
        <v>272.839</v>
      </c>
      <c r="C172">
        <v>268.43400000000003</v>
      </c>
      <c r="D172">
        <f t="shared" si="7"/>
        <v>-6.5938359361376675E-3</v>
      </c>
      <c r="E172">
        <f t="shared" si="8"/>
        <v>-6.0316770669809052E-3</v>
      </c>
    </row>
    <row r="173" spans="1:5" x14ac:dyDescent="0.3">
      <c r="A173">
        <v>171</v>
      </c>
      <c r="B173">
        <v>271.53899999999999</v>
      </c>
      <c r="C173">
        <v>267.26299999999998</v>
      </c>
      <c r="D173">
        <f t="shared" si="7"/>
        <v>-4.7761021613922598E-3</v>
      </c>
      <c r="E173">
        <f t="shared" si="8"/>
        <v>-4.371881362574527E-3</v>
      </c>
    </row>
    <row r="174" spans="1:5" x14ac:dyDescent="0.3">
      <c r="A174">
        <v>172</v>
      </c>
      <c r="B174">
        <v>269.41300000000001</v>
      </c>
      <c r="C174">
        <v>265.60000000000002</v>
      </c>
      <c r="D174">
        <f t="shared" si="7"/>
        <v>-7.8602572723311479E-3</v>
      </c>
      <c r="E174">
        <f t="shared" si="8"/>
        <v>-6.2417747119567005E-3</v>
      </c>
    </row>
    <row r="175" spans="1:5" x14ac:dyDescent="0.3">
      <c r="A175">
        <v>173</v>
      </c>
      <c r="B175">
        <v>269.15100000000001</v>
      </c>
      <c r="C175">
        <v>265.39299999999997</v>
      </c>
      <c r="D175">
        <f t="shared" si="7"/>
        <v>-9.7295779394262929E-4</v>
      </c>
      <c r="E175">
        <f t="shared" si="8"/>
        <v>-7.7967133459805088E-4</v>
      </c>
    </row>
    <row r="176" spans="1:5" x14ac:dyDescent="0.3">
      <c r="A176">
        <v>174</v>
      </c>
      <c r="B176">
        <v>272.10300000000001</v>
      </c>
      <c r="C176">
        <v>267.7</v>
      </c>
      <c r="D176">
        <f t="shared" si="7"/>
        <v>1.090811068634742E-2</v>
      </c>
      <c r="E176">
        <f t="shared" si="8"/>
        <v>8.6552042586259328E-3</v>
      </c>
    </row>
    <row r="177" spans="1:5" x14ac:dyDescent="0.3">
      <c r="A177">
        <v>175</v>
      </c>
      <c r="B177">
        <v>270.03800000000001</v>
      </c>
      <c r="C177">
        <v>265.83999999999997</v>
      </c>
      <c r="D177">
        <f t="shared" si="7"/>
        <v>-7.6179812506793647E-3</v>
      </c>
      <c r="E177">
        <f t="shared" si="8"/>
        <v>-6.9723264799680558E-3</v>
      </c>
    </row>
    <row r="178" spans="1:5" x14ac:dyDescent="0.3">
      <c r="A178">
        <v>176</v>
      </c>
      <c r="B178">
        <v>266.68099999999998</v>
      </c>
      <c r="C178">
        <v>263.21300000000002</v>
      </c>
      <c r="D178">
        <f t="shared" si="7"/>
        <v>-1.2509502280728653E-2</v>
      </c>
      <c r="E178">
        <f t="shared" si="8"/>
        <v>-9.9310337176615505E-3</v>
      </c>
    </row>
    <row r="179" spans="1:5" x14ac:dyDescent="0.3">
      <c r="A179">
        <v>177</v>
      </c>
      <c r="B179">
        <v>268.91899999999998</v>
      </c>
      <c r="C179">
        <v>264.96300000000002</v>
      </c>
      <c r="D179">
        <f t="shared" si="7"/>
        <v>8.3570314605680863E-3</v>
      </c>
      <c r="E179">
        <f t="shared" si="8"/>
        <v>6.6266032678873755E-3</v>
      </c>
    </row>
    <row r="180" spans="1:5" x14ac:dyDescent="0.3">
      <c r="A180">
        <v>178</v>
      </c>
      <c r="B180">
        <v>268.04599999999999</v>
      </c>
      <c r="C180">
        <v>264.27800000000002</v>
      </c>
      <c r="D180">
        <f t="shared" si="7"/>
        <v>-3.2516114427715609E-3</v>
      </c>
      <c r="E180">
        <f t="shared" si="8"/>
        <v>-2.5886141947091055E-3</v>
      </c>
    </row>
    <row r="181" spans="1:5" x14ac:dyDescent="0.3">
      <c r="A181">
        <v>179</v>
      </c>
      <c r="B181">
        <v>267.459</v>
      </c>
      <c r="C181">
        <v>263.81700000000001</v>
      </c>
      <c r="D181">
        <f t="shared" si="7"/>
        <v>-2.1923240123150633E-3</v>
      </c>
      <c r="E181">
        <f t="shared" si="8"/>
        <v>-1.745898435320158E-3</v>
      </c>
    </row>
    <row r="182" spans="1:5" x14ac:dyDescent="0.3">
      <c r="A182">
        <v>180</v>
      </c>
      <c r="B182">
        <v>267.99</v>
      </c>
      <c r="C182">
        <v>264.23099999999999</v>
      </c>
      <c r="D182">
        <f t="shared" si="7"/>
        <v>1.9833828210380267E-3</v>
      </c>
      <c r="E182">
        <f t="shared" si="8"/>
        <v>1.5680395904418502E-3</v>
      </c>
    </row>
    <row r="183" spans="1:5" x14ac:dyDescent="0.3">
      <c r="A183">
        <v>181</v>
      </c>
      <c r="B183">
        <v>265.20699999999999</v>
      </c>
      <c r="C183">
        <v>262.04899999999998</v>
      </c>
      <c r="D183">
        <f t="shared" si="7"/>
        <v>-1.0439013245042537E-2</v>
      </c>
      <c r="E183">
        <f t="shared" si="8"/>
        <v>-8.2922113817193045E-3</v>
      </c>
    </row>
    <row r="184" spans="1:5" x14ac:dyDescent="0.3">
      <c r="A184">
        <v>182</v>
      </c>
      <c r="B184">
        <v>266.96899999999999</v>
      </c>
      <c r="C184">
        <v>263.428</v>
      </c>
      <c r="D184">
        <f t="shared" si="7"/>
        <v>6.6218936538286321E-3</v>
      </c>
      <c r="E184">
        <f t="shared" si="8"/>
        <v>5.2485766862184844E-3</v>
      </c>
    </row>
    <row r="185" spans="1:5" x14ac:dyDescent="0.3">
      <c r="A185">
        <v>183</v>
      </c>
      <c r="B185">
        <v>266.19499999999999</v>
      </c>
      <c r="C185">
        <v>262.82499999999999</v>
      </c>
      <c r="D185">
        <f t="shared" si="7"/>
        <v>-2.903423876055234E-3</v>
      </c>
      <c r="E185">
        <f t="shared" si="8"/>
        <v>-2.2916743995815727E-3</v>
      </c>
    </row>
    <row r="186" spans="1:5" x14ac:dyDescent="0.3">
      <c r="A186">
        <v>184</v>
      </c>
      <c r="B186">
        <v>266.33499999999998</v>
      </c>
      <c r="C186">
        <v>262.93799999999999</v>
      </c>
      <c r="D186">
        <f t="shared" si="7"/>
        <v>5.2579198627419714E-4</v>
      </c>
      <c r="E186">
        <f t="shared" si="8"/>
        <v>4.2985147962083705E-4</v>
      </c>
    </row>
    <row r="187" spans="1:5" x14ac:dyDescent="0.3">
      <c r="A187">
        <v>185</v>
      </c>
      <c r="B187">
        <v>267.94400000000002</v>
      </c>
      <c r="C187">
        <v>264.202</v>
      </c>
      <c r="D187">
        <f t="shared" si="7"/>
        <v>6.0230885519289888E-3</v>
      </c>
      <c r="E187">
        <f t="shared" si="8"/>
        <v>4.7956991407672473E-3</v>
      </c>
    </row>
    <row r="188" spans="1:5" x14ac:dyDescent="0.3">
      <c r="A188">
        <v>186</v>
      </c>
      <c r="B188">
        <v>270.32100000000003</v>
      </c>
      <c r="C188">
        <v>266.065</v>
      </c>
      <c r="D188">
        <f t="shared" si="7"/>
        <v>8.8321382657257086E-3</v>
      </c>
      <c r="E188">
        <f t="shared" si="8"/>
        <v>7.0266777504096913E-3</v>
      </c>
    </row>
    <row r="189" spans="1:5" x14ac:dyDescent="0.3">
      <c r="A189">
        <v>187</v>
      </c>
      <c r="B189">
        <v>271.28399999999999</v>
      </c>
      <c r="C189">
        <v>266.82100000000003</v>
      </c>
      <c r="D189">
        <f t="shared" si="7"/>
        <v>3.5561009031656043E-3</v>
      </c>
      <c r="E189">
        <f t="shared" si="8"/>
        <v>2.8373817559339256E-3</v>
      </c>
    </row>
    <row r="190" spans="1:5" x14ac:dyDescent="0.3">
      <c r="A190">
        <v>188</v>
      </c>
      <c r="B190">
        <v>267.495</v>
      </c>
      <c r="C190">
        <v>263.863</v>
      </c>
      <c r="D190">
        <f t="shared" si="7"/>
        <v>-1.406536804909669E-2</v>
      </c>
      <c r="E190">
        <f t="shared" si="8"/>
        <v>-1.1147992531897896E-2</v>
      </c>
    </row>
    <row r="191" spans="1:5" x14ac:dyDescent="0.3">
      <c r="A191">
        <v>189</v>
      </c>
      <c r="B191">
        <v>263.46699999999998</v>
      </c>
      <c r="C191">
        <v>260.709</v>
      </c>
      <c r="D191">
        <f t="shared" si="7"/>
        <v>-1.5172751625652138E-2</v>
      </c>
      <c r="E191">
        <f t="shared" si="8"/>
        <v>-1.2025186273572162E-2</v>
      </c>
    </row>
    <row r="192" spans="1:5" x14ac:dyDescent="0.3">
      <c r="A192">
        <v>190</v>
      </c>
      <c r="B192">
        <v>260.85599999999999</v>
      </c>
      <c r="C192">
        <v>258.66000000000003</v>
      </c>
      <c r="D192">
        <f t="shared" si="7"/>
        <v>-9.9595920179387371E-3</v>
      </c>
      <c r="E192">
        <f t="shared" si="8"/>
        <v>-7.8903847960577218E-3</v>
      </c>
    </row>
    <row r="193" spans="1:5" x14ac:dyDescent="0.3">
      <c r="A193">
        <v>191</v>
      </c>
      <c r="B193">
        <v>259.93099999999998</v>
      </c>
      <c r="C193">
        <v>257.93599999999998</v>
      </c>
      <c r="D193">
        <f t="shared" si="7"/>
        <v>-3.5523197495809971E-3</v>
      </c>
      <c r="E193">
        <f t="shared" si="8"/>
        <v>-2.8029658534557797E-3</v>
      </c>
    </row>
    <row r="194" spans="1:5" x14ac:dyDescent="0.3">
      <c r="A194">
        <v>192</v>
      </c>
      <c r="B194">
        <v>257.35199999999998</v>
      </c>
      <c r="C194">
        <v>255.90700000000001</v>
      </c>
      <c r="D194">
        <f t="shared" si="7"/>
        <v>-9.971413593460399E-3</v>
      </c>
      <c r="E194">
        <f t="shared" si="8"/>
        <v>-7.8973949066989332E-3</v>
      </c>
    </row>
    <row r="195" spans="1:5" x14ac:dyDescent="0.3">
      <c r="A195">
        <v>193</v>
      </c>
      <c r="B195">
        <v>257.93700000000001</v>
      </c>
      <c r="C195">
        <v>256.37200000000001</v>
      </c>
      <c r="D195">
        <f t="shared" si="7"/>
        <v>2.2705714708847807E-3</v>
      </c>
      <c r="E195">
        <f t="shared" si="8"/>
        <v>1.8154174881654262E-3</v>
      </c>
    </row>
    <row r="196" spans="1:5" x14ac:dyDescent="0.3">
      <c r="A196">
        <v>194</v>
      </c>
      <c r="B196">
        <v>258.34300000000002</v>
      </c>
      <c r="C196">
        <v>256.69600000000003</v>
      </c>
      <c r="D196">
        <f t="shared" ref="D196:D259" si="9">LN(B196/B195)</f>
        <v>1.5727902831506053E-3</v>
      </c>
      <c r="E196">
        <f t="shared" ref="E196:E259" si="10">LN(C196/C195)</f>
        <v>1.2629906486818507E-3</v>
      </c>
    </row>
    <row r="197" spans="1:5" x14ac:dyDescent="0.3">
      <c r="A197">
        <v>195</v>
      </c>
      <c r="B197">
        <v>253.84299999999999</v>
      </c>
      <c r="C197">
        <v>253.14500000000001</v>
      </c>
      <c r="D197">
        <f t="shared" si="9"/>
        <v>-1.7572193666560439E-2</v>
      </c>
      <c r="E197">
        <f t="shared" si="10"/>
        <v>-1.3930058278619237E-2</v>
      </c>
    </row>
    <row r="198" spans="1:5" x14ac:dyDescent="0.3">
      <c r="A198">
        <v>196</v>
      </c>
      <c r="B198">
        <v>248.886</v>
      </c>
      <c r="C198">
        <v>249.66399999999999</v>
      </c>
      <c r="D198">
        <f t="shared" si="9"/>
        <v>-1.9721005370783411E-2</v>
      </c>
      <c r="E198">
        <f t="shared" si="10"/>
        <v>-1.3846433200980427E-2</v>
      </c>
    </row>
    <row r="199" spans="1:5" x14ac:dyDescent="0.3">
      <c r="A199">
        <v>197</v>
      </c>
      <c r="B199">
        <v>248.06899999999999</v>
      </c>
      <c r="C199">
        <v>249.09299999999999</v>
      </c>
      <c r="D199">
        <f t="shared" si="9"/>
        <v>-3.2880270288339715E-3</v>
      </c>
      <c r="E199">
        <f t="shared" si="10"/>
        <v>-2.2896931750928063E-3</v>
      </c>
    </row>
    <row r="200" spans="1:5" x14ac:dyDescent="0.3">
      <c r="A200">
        <v>198</v>
      </c>
      <c r="B200">
        <v>250.87799999999999</v>
      </c>
      <c r="C200">
        <v>251.07900000000001</v>
      </c>
      <c r="D200">
        <f t="shared" si="9"/>
        <v>1.125983191767963E-2</v>
      </c>
      <c r="E200">
        <f t="shared" si="10"/>
        <v>7.9413099379727018E-3</v>
      </c>
    </row>
    <row r="201" spans="1:5" x14ac:dyDescent="0.3">
      <c r="A201">
        <v>199</v>
      </c>
      <c r="B201">
        <v>252.58099999999999</v>
      </c>
      <c r="C201">
        <v>252.28299999999999</v>
      </c>
      <c r="D201">
        <f t="shared" si="9"/>
        <v>6.7652241603532275E-3</v>
      </c>
      <c r="E201">
        <f t="shared" si="10"/>
        <v>4.7838426267477595E-3</v>
      </c>
    </row>
    <row r="202" spans="1:5" x14ac:dyDescent="0.3">
      <c r="A202">
        <v>200</v>
      </c>
      <c r="B202">
        <v>253.37799999999999</v>
      </c>
      <c r="C202">
        <v>252.84899999999999</v>
      </c>
      <c r="D202">
        <f t="shared" si="9"/>
        <v>3.1504555080940685E-3</v>
      </c>
      <c r="E202">
        <f t="shared" si="10"/>
        <v>2.2409993303716298E-3</v>
      </c>
    </row>
    <row r="203" spans="1:5" x14ac:dyDescent="0.3">
      <c r="A203">
        <v>201</v>
      </c>
      <c r="B203">
        <v>251.92500000000001</v>
      </c>
      <c r="C203">
        <v>251.834</v>
      </c>
      <c r="D203">
        <f t="shared" si="9"/>
        <v>-5.7510206934725102E-3</v>
      </c>
      <c r="E203">
        <f t="shared" si="10"/>
        <v>-4.0223323095355768E-3</v>
      </c>
    </row>
    <row r="204" spans="1:5" x14ac:dyDescent="0.3">
      <c r="A204">
        <v>202</v>
      </c>
      <c r="B204">
        <v>252.297</v>
      </c>
      <c r="C204">
        <v>252.102</v>
      </c>
      <c r="D204">
        <f t="shared" si="9"/>
        <v>1.4755408034310543E-3</v>
      </c>
      <c r="E204">
        <f t="shared" si="10"/>
        <v>1.0636272275279556E-3</v>
      </c>
    </row>
    <row r="205" spans="1:5" x14ac:dyDescent="0.3">
      <c r="A205">
        <v>203</v>
      </c>
      <c r="B205">
        <v>249.274</v>
      </c>
      <c r="C205">
        <v>249.97900000000001</v>
      </c>
      <c r="D205">
        <f t="shared" si="9"/>
        <v>-1.2054271896825194E-2</v>
      </c>
      <c r="E205">
        <f t="shared" si="10"/>
        <v>-8.4568531881341509E-3</v>
      </c>
    </row>
    <row r="206" spans="1:5" x14ac:dyDescent="0.3">
      <c r="A206">
        <v>204</v>
      </c>
      <c r="B206">
        <v>251.26300000000001</v>
      </c>
      <c r="C206">
        <v>251.387</v>
      </c>
      <c r="D206">
        <f t="shared" si="9"/>
        <v>7.9475062552111526E-3</v>
      </c>
      <c r="E206">
        <f t="shared" si="10"/>
        <v>5.616670063429318E-3</v>
      </c>
    </row>
    <row r="207" spans="1:5" x14ac:dyDescent="0.3">
      <c r="A207">
        <v>205</v>
      </c>
      <c r="B207">
        <v>254.209</v>
      </c>
      <c r="C207">
        <v>253.46299999999999</v>
      </c>
      <c r="D207">
        <f t="shared" si="9"/>
        <v>1.1656563993083024E-2</v>
      </c>
      <c r="E207">
        <f t="shared" si="10"/>
        <v>8.2242713735622888E-3</v>
      </c>
    </row>
    <row r="208" spans="1:5" x14ac:dyDescent="0.3">
      <c r="A208">
        <v>206</v>
      </c>
      <c r="B208">
        <v>251.792</v>
      </c>
      <c r="C208">
        <v>251.77099999999999</v>
      </c>
      <c r="D208">
        <f t="shared" si="9"/>
        <v>-9.5534134628576205E-3</v>
      </c>
      <c r="E208">
        <f t="shared" si="10"/>
        <v>-6.6979115639089603E-3</v>
      </c>
    </row>
    <row r="209" spans="1:5" x14ac:dyDescent="0.3">
      <c r="A209">
        <v>207</v>
      </c>
      <c r="B209">
        <v>250.34800000000001</v>
      </c>
      <c r="C209">
        <v>250.761</v>
      </c>
      <c r="D209">
        <f t="shared" si="9"/>
        <v>-5.7513999301235536E-3</v>
      </c>
      <c r="E209">
        <f t="shared" si="10"/>
        <v>-4.0196499324609688E-3</v>
      </c>
    </row>
    <row r="210" spans="1:5" x14ac:dyDescent="0.3">
      <c r="A210">
        <v>208</v>
      </c>
      <c r="B210">
        <v>246.203</v>
      </c>
      <c r="C210">
        <v>247.839</v>
      </c>
      <c r="D210">
        <f t="shared" si="9"/>
        <v>-1.6695551036998796E-2</v>
      </c>
      <c r="E210">
        <f t="shared" si="10"/>
        <v>-1.1720952475452892E-2</v>
      </c>
    </row>
    <row r="211" spans="1:5" x14ac:dyDescent="0.3">
      <c r="A211">
        <v>209</v>
      </c>
      <c r="B211">
        <v>247.11199999999999</v>
      </c>
      <c r="C211">
        <v>248.489</v>
      </c>
      <c r="D211">
        <f t="shared" si="9"/>
        <v>3.6852762586999576E-3</v>
      </c>
      <c r="E211">
        <f t="shared" si="10"/>
        <v>2.6192371641540904E-3</v>
      </c>
    </row>
    <row r="212" spans="1:5" x14ac:dyDescent="0.3">
      <c r="A212">
        <v>210</v>
      </c>
      <c r="B212">
        <v>246.797</v>
      </c>
      <c r="C212">
        <v>248.27199999999999</v>
      </c>
      <c r="D212">
        <f t="shared" si="9"/>
        <v>-1.2755387843053384E-3</v>
      </c>
      <c r="E212">
        <f t="shared" si="10"/>
        <v>-8.7365962224363936E-4</v>
      </c>
    </row>
    <row r="213" spans="1:5" x14ac:dyDescent="0.3">
      <c r="A213">
        <v>211</v>
      </c>
      <c r="B213">
        <v>244.99700000000001</v>
      </c>
      <c r="C213">
        <v>247.00299999999999</v>
      </c>
      <c r="D213">
        <f t="shared" si="9"/>
        <v>-7.3201707939823755E-3</v>
      </c>
      <c r="E213">
        <f t="shared" si="10"/>
        <v>-5.1244370379221619E-3</v>
      </c>
    </row>
    <row r="214" spans="1:5" x14ac:dyDescent="0.3">
      <c r="A214">
        <v>212</v>
      </c>
      <c r="B214">
        <v>247.33199999999999</v>
      </c>
      <c r="C214">
        <v>248.66200000000001</v>
      </c>
      <c r="D214">
        <f t="shared" si="9"/>
        <v>9.4855980773621597E-3</v>
      </c>
      <c r="E214">
        <f t="shared" si="10"/>
        <v>6.6940623003152915E-3</v>
      </c>
    </row>
    <row r="215" spans="1:5" x14ac:dyDescent="0.3">
      <c r="A215">
        <v>213</v>
      </c>
      <c r="B215">
        <v>247.27</v>
      </c>
      <c r="C215">
        <v>248.625</v>
      </c>
      <c r="D215">
        <f t="shared" si="9"/>
        <v>-2.5070663007717149E-4</v>
      </c>
      <c r="E215">
        <f t="shared" si="10"/>
        <v>-1.4880742938495548E-4</v>
      </c>
    </row>
    <row r="216" spans="1:5" x14ac:dyDescent="0.3">
      <c r="A216">
        <v>214</v>
      </c>
      <c r="B216">
        <v>250.89599999999999</v>
      </c>
      <c r="C216">
        <v>251.19</v>
      </c>
      <c r="D216">
        <f t="shared" si="9"/>
        <v>1.4557653619592253E-2</v>
      </c>
      <c r="E216">
        <f t="shared" si="10"/>
        <v>1.026388771031401E-2</v>
      </c>
    </row>
    <row r="217" spans="1:5" x14ac:dyDescent="0.3">
      <c r="A217">
        <v>215</v>
      </c>
      <c r="B217">
        <v>252.44399999999999</v>
      </c>
      <c r="C217">
        <v>252.285</v>
      </c>
      <c r="D217">
        <f t="shared" si="9"/>
        <v>6.1509313012168554E-3</v>
      </c>
      <c r="E217">
        <f t="shared" si="10"/>
        <v>4.3497759630556935E-3</v>
      </c>
    </row>
    <row r="218" spans="1:5" x14ac:dyDescent="0.3">
      <c r="A218">
        <v>216</v>
      </c>
      <c r="B218">
        <v>248.56299999999999</v>
      </c>
      <c r="C218">
        <v>249.55600000000001</v>
      </c>
      <c r="D218">
        <f t="shared" si="9"/>
        <v>-1.5493107407498916E-2</v>
      </c>
      <c r="E218">
        <f t="shared" si="10"/>
        <v>-1.0876061943022269E-2</v>
      </c>
    </row>
    <row r="219" spans="1:5" x14ac:dyDescent="0.3">
      <c r="A219">
        <v>217</v>
      </c>
      <c r="B219">
        <v>253.89500000000001</v>
      </c>
      <c r="C219">
        <v>253.316</v>
      </c>
      <c r="D219">
        <f t="shared" si="9"/>
        <v>2.1224461191895742E-2</v>
      </c>
      <c r="E219">
        <f t="shared" si="10"/>
        <v>1.4954382314325013E-2</v>
      </c>
    </row>
    <row r="220" spans="1:5" x14ac:dyDescent="0.3">
      <c r="A220">
        <v>218</v>
      </c>
      <c r="B220">
        <v>262.255</v>
      </c>
      <c r="C220">
        <v>259.16199999999998</v>
      </c>
      <c r="D220">
        <f t="shared" si="9"/>
        <v>3.2396517147298187E-2</v>
      </c>
      <c r="E220">
        <f t="shared" si="10"/>
        <v>2.2815627573485035E-2</v>
      </c>
    </row>
    <row r="221" spans="1:5" x14ac:dyDescent="0.3">
      <c r="A221">
        <v>219</v>
      </c>
      <c r="B221">
        <v>260.161</v>
      </c>
      <c r="C221">
        <v>257.52199999999999</v>
      </c>
      <c r="D221">
        <f t="shared" si="9"/>
        <v>-8.0166427310910306E-3</v>
      </c>
      <c r="E221">
        <f t="shared" si="10"/>
        <v>-6.3481954448223387E-3</v>
      </c>
    </row>
    <row r="222" spans="1:5" x14ac:dyDescent="0.3">
      <c r="A222">
        <v>220</v>
      </c>
      <c r="B222">
        <v>256.68</v>
      </c>
      <c r="C222">
        <v>254.78700000000001</v>
      </c>
      <c r="D222">
        <f t="shared" si="9"/>
        <v>-1.3470497258181774E-2</v>
      </c>
      <c r="E222">
        <f t="shared" si="10"/>
        <v>-1.0677251359211496E-2</v>
      </c>
    </row>
    <row r="223" spans="1:5" x14ac:dyDescent="0.3">
      <c r="A223">
        <v>221</v>
      </c>
      <c r="B223">
        <v>252.84700000000001</v>
      </c>
      <c r="C223">
        <v>252.11099999999999</v>
      </c>
      <c r="D223">
        <f t="shared" si="9"/>
        <v>-1.5045610168651014E-2</v>
      </c>
      <c r="E223">
        <f t="shared" si="10"/>
        <v>-1.0558435267519943E-2</v>
      </c>
    </row>
    <row r="224" spans="1:5" x14ac:dyDescent="0.3">
      <c r="A224">
        <v>222</v>
      </c>
      <c r="B224">
        <v>249.27099999999999</v>
      </c>
      <c r="C224">
        <v>249.60300000000001</v>
      </c>
      <c r="D224">
        <f t="shared" si="9"/>
        <v>-1.4243904662505386E-2</v>
      </c>
      <c r="E224">
        <f t="shared" si="10"/>
        <v>-9.9978110669283297E-3</v>
      </c>
    </row>
    <row r="225" spans="1:5" x14ac:dyDescent="0.3">
      <c r="A225">
        <v>223</v>
      </c>
      <c r="B225">
        <v>246.78899999999999</v>
      </c>
      <c r="C225">
        <v>247.858</v>
      </c>
      <c r="D225">
        <f t="shared" si="9"/>
        <v>-1.0006937515650943E-2</v>
      </c>
      <c r="E225">
        <f t="shared" si="10"/>
        <v>-7.0156541208883779E-3</v>
      </c>
    </row>
    <row r="226" spans="1:5" x14ac:dyDescent="0.3">
      <c r="A226">
        <v>224</v>
      </c>
      <c r="B226">
        <v>249.00299999999999</v>
      </c>
      <c r="C226">
        <v>249.42599999999999</v>
      </c>
      <c r="D226">
        <f t="shared" si="9"/>
        <v>8.9312240493924291E-3</v>
      </c>
      <c r="E226">
        <f t="shared" si="10"/>
        <v>6.3062764798194268E-3</v>
      </c>
    </row>
    <row r="227" spans="1:5" x14ac:dyDescent="0.3">
      <c r="A227">
        <v>225</v>
      </c>
      <c r="B227">
        <v>253.43799999999999</v>
      </c>
      <c r="C227">
        <v>252.54900000000001</v>
      </c>
      <c r="D227">
        <f t="shared" si="9"/>
        <v>1.7654272595882415E-2</v>
      </c>
      <c r="E227">
        <f t="shared" si="10"/>
        <v>1.2443011281521603E-2</v>
      </c>
    </row>
    <row r="228" spans="1:5" x14ac:dyDescent="0.3">
      <c r="A228">
        <v>226</v>
      </c>
      <c r="B228">
        <v>256.92</v>
      </c>
      <c r="C228">
        <v>254.99100000000001</v>
      </c>
      <c r="D228">
        <f t="shared" si="9"/>
        <v>1.364553520880969E-2</v>
      </c>
      <c r="E228">
        <f t="shared" si="10"/>
        <v>9.6229611236627686E-3</v>
      </c>
    </row>
    <row r="229" spans="1:5" x14ac:dyDescent="0.3">
      <c r="A229">
        <v>227</v>
      </c>
      <c r="B229">
        <v>256.851</v>
      </c>
      <c r="C229">
        <v>254.94900000000001</v>
      </c>
      <c r="D229">
        <f t="shared" si="9"/>
        <v>-2.6860216094271331E-4</v>
      </c>
      <c r="E229">
        <f t="shared" si="10"/>
        <v>-1.6472526216794003E-4</v>
      </c>
    </row>
    <row r="230" spans="1:5" x14ac:dyDescent="0.3">
      <c r="A230">
        <v>228</v>
      </c>
      <c r="B230">
        <v>253.16</v>
      </c>
      <c r="C230">
        <v>252.37200000000001</v>
      </c>
      <c r="D230">
        <f t="shared" si="9"/>
        <v>-1.4474450321544468E-2</v>
      </c>
      <c r="E230">
        <f t="shared" si="10"/>
        <v>-1.0159335666217678E-2</v>
      </c>
    </row>
    <row r="231" spans="1:5" x14ac:dyDescent="0.3">
      <c r="A231">
        <v>229</v>
      </c>
      <c r="B231">
        <v>250.774</v>
      </c>
      <c r="C231">
        <v>250.542</v>
      </c>
      <c r="D231">
        <f t="shared" si="9"/>
        <v>-9.4695647838276067E-3</v>
      </c>
      <c r="E231">
        <f t="shared" si="10"/>
        <v>-7.2776183481132808E-3</v>
      </c>
    </row>
    <row r="232" spans="1:5" x14ac:dyDescent="0.3">
      <c r="A232">
        <v>230</v>
      </c>
      <c r="B232">
        <v>253.608</v>
      </c>
      <c r="C232">
        <v>252.72499999999999</v>
      </c>
      <c r="D232">
        <f t="shared" si="9"/>
        <v>1.1237632683562362E-2</v>
      </c>
      <c r="E232">
        <f t="shared" si="10"/>
        <v>8.6753698986930597E-3</v>
      </c>
    </row>
    <row r="233" spans="1:5" x14ac:dyDescent="0.3">
      <c r="A233">
        <v>231</v>
      </c>
      <c r="B233">
        <v>253.94</v>
      </c>
      <c r="C233">
        <v>252.98400000000001</v>
      </c>
      <c r="D233">
        <f t="shared" si="9"/>
        <v>1.3082508348060602E-3</v>
      </c>
      <c r="E233">
        <f t="shared" si="10"/>
        <v>1.0243045808766013E-3</v>
      </c>
    </row>
    <row r="234" spans="1:5" x14ac:dyDescent="0.3">
      <c r="A234">
        <v>232</v>
      </c>
      <c r="B234">
        <v>251.56899999999999</v>
      </c>
      <c r="C234">
        <v>251.167</v>
      </c>
      <c r="D234">
        <f t="shared" si="9"/>
        <v>-9.3807128532545948E-3</v>
      </c>
      <c r="E234">
        <f t="shared" si="10"/>
        <v>-7.2081890834247266E-3</v>
      </c>
    </row>
    <row r="235" spans="1:5" x14ac:dyDescent="0.3">
      <c r="A235">
        <v>233</v>
      </c>
      <c r="B235">
        <v>248.26900000000001</v>
      </c>
      <c r="C235">
        <v>248.63</v>
      </c>
      <c r="D235">
        <f t="shared" si="9"/>
        <v>-1.3204470041568038E-2</v>
      </c>
      <c r="E235">
        <f t="shared" si="10"/>
        <v>-1.0152208957306527E-2</v>
      </c>
    </row>
    <row r="236" spans="1:5" x14ac:dyDescent="0.3">
      <c r="A236">
        <v>234</v>
      </c>
      <c r="B236">
        <v>245.791</v>
      </c>
      <c r="C236">
        <v>246.721</v>
      </c>
      <c r="D236">
        <f t="shared" si="9"/>
        <v>-1.0031254419494104E-2</v>
      </c>
      <c r="E236">
        <f t="shared" si="10"/>
        <v>-7.7077040358246845E-3</v>
      </c>
    </row>
    <row r="237" spans="1:5" x14ac:dyDescent="0.3">
      <c r="A237">
        <v>235</v>
      </c>
      <c r="B237">
        <v>244.53200000000001</v>
      </c>
      <c r="C237">
        <v>245.75200000000001</v>
      </c>
      <c r="D237">
        <f t="shared" si="9"/>
        <v>-5.1354016307528626E-3</v>
      </c>
      <c r="E237">
        <f t="shared" si="10"/>
        <v>-3.935246198298421E-3</v>
      </c>
    </row>
    <row r="238" spans="1:5" x14ac:dyDescent="0.3">
      <c r="A238">
        <v>236</v>
      </c>
      <c r="B238">
        <v>246.077</v>
      </c>
      <c r="C238">
        <v>246.95099999999999</v>
      </c>
      <c r="D238">
        <f t="shared" si="9"/>
        <v>6.2983153890434291E-3</v>
      </c>
      <c r="E238">
        <f t="shared" si="10"/>
        <v>4.8670390350046425E-3</v>
      </c>
    </row>
    <row r="239" spans="1:5" x14ac:dyDescent="0.3">
      <c r="A239">
        <v>237</v>
      </c>
      <c r="B239">
        <v>246.00200000000001</v>
      </c>
      <c r="C239">
        <v>246.89699999999999</v>
      </c>
      <c r="D239">
        <f t="shared" si="9"/>
        <v>-3.048291050044749E-4</v>
      </c>
      <c r="E239">
        <f t="shared" si="10"/>
        <v>-2.1869077212104921E-4</v>
      </c>
    </row>
    <row r="240" spans="1:5" x14ac:dyDescent="0.3">
      <c r="A240">
        <v>238</v>
      </c>
      <c r="B240">
        <v>249.88900000000001</v>
      </c>
      <c r="C240">
        <v>249.90100000000001</v>
      </c>
      <c r="D240">
        <f t="shared" si="9"/>
        <v>1.5677153284445806E-2</v>
      </c>
      <c r="E240">
        <f t="shared" si="10"/>
        <v>1.2093593824513532E-2</v>
      </c>
    </row>
    <row r="241" spans="1:5" x14ac:dyDescent="0.3">
      <c r="A241">
        <v>239</v>
      </c>
      <c r="B241">
        <v>249.994</v>
      </c>
      <c r="C241">
        <v>249.98599999999999</v>
      </c>
      <c r="D241">
        <f t="shared" si="9"/>
        <v>4.2009830918127595E-4</v>
      </c>
      <c r="E241">
        <f t="shared" si="10"/>
        <v>3.4007686064724827E-4</v>
      </c>
    </row>
    <row r="242" spans="1:5" x14ac:dyDescent="0.3">
      <c r="A242">
        <v>240</v>
      </c>
      <c r="B242">
        <v>250.58699999999999</v>
      </c>
      <c r="C242">
        <v>250.447</v>
      </c>
      <c r="D242">
        <f t="shared" si="9"/>
        <v>2.3692480433430731E-3</v>
      </c>
      <c r="E242">
        <f t="shared" si="10"/>
        <v>1.84240499888572E-3</v>
      </c>
    </row>
    <row r="243" spans="1:5" x14ac:dyDescent="0.3">
      <c r="A243">
        <v>241</v>
      </c>
      <c r="B243">
        <v>250.548</v>
      </c>
      <c r="C243">
        <v>250.422</v>
      </c>
      <c r="D243">
        <f t="shared" si="9"/>
        <v>-1.5564668234597972E-4</v>
      </c>
      <c r="E243">
        <f t="shared" si="10"/>
        <v>-9.9826501623216058E-5</v>
      </c>
    </row>
    <row r="244" spans="1:5" x14ac:dyDescent="0.3">
      <c r="A244">
        <v>242</v>
      </c>
      <c r="B244">
        <v>250.86799999999999</v>
      </c>
      <c r="C244">
        <v>250.673</v>
      </c>
      <c r="D244">
        <f t="shared" si="9"/>
        <v>1.2763854501820504E-3</v>
      </c>
      <c r="E244">
        <f t="shared" si="10"/>
        <v>1.0018061285476086E-3</v>
      </c>
    </row>
    <row r="245" spans="1:5" x14ac:dyDescent="0.3">
      <c r="A245">
        <v>243</v>
      </c>
      <c r="B245">
        <v>250.77099999999999</v>
      </c>
      <c r="C245">
        <v>250.60300000000001</v>
      </c>
      <c r="D245">
        <f t="shared" si="9"/>
        <v>-3.8673229636833367E-4</v>
      </c>
      <c r="E245">
        <f t="shared" si="10"/>
        <v>-2.7928726073066164E-4</v>
      </c>
    </row>
    <row r="246" spans="1:5" x14ac:dyDescent="0.3">
      <c r="A246">
        <v>244</v>
      </c>
      <c r="B246">
        <v>248.214</v>
      </c>
      <c r="C246">
        <v>248.637</v>
      </c>
      <c r="D246">
        <f t="shared" si="9"/>
        <v>-1.0248894785217882E-2</v>
      </c>
      <c r="E246">
        <f t="shared" si="10"/>
        <v>-7.8760121898408426E-3</v>
      </c>
    </row>
    <row r="247" spans="1:5" x14ac:dyDescent="0.3">
      <c r="A247">
        <v>245</v>
      </c>
      <c r="B247">
        <v>253.73500000000001</v>
      </c>
      <c r="C247">
        <v>252.89</v>
      </c>
      <c r="D247">
        <f t="shared" si="9"/>
        <v>2.1999138004409832E-2</v>
      </c>
      <c r="E247">
        <f t="shared" si="10"/>
        <v>1.6960610104034116E-2</v>
      </c>
    </row>
    <row r="248" spans="1:5" x14ac:dyDescent="0.3">
      <c r="A248">
        <v>246</v>
      </c>
      <c r="B248">
        <v>252.80099999999999</v>
      </c>
      <c r="C248">
        <v>252.17400000000001</v>
      </c>
      <c r="D248">
        <f t="shared" si="9"/>
        <v>-3.6877973471634291E-3</v>
      </c>
      <c r="E248">
        <f t="shared" si="10"/>
        <v>-2.8352861405728787E-3</v>
      </c>
    </row>
    <row r="249" spans="1:5" x14ac:dyDescent="0.3">
      <c r="A249">
        <v>247</v>
      </c>
      <c r="B249">
        <v>246.53100000000001</v>
      </c>
      <c r="C249">
        <v>247.34299999999999</v>
      </c>
      <c r="D249">
        <f t="shared" si="9"/>
        <v>-2.511487173645649E-2</v>
      </c>
      <c r="E249">
        <f t="shared" si="10"/>
        <v>-1.9343288139407926E-2</v>
      </c>
    </row>
    <row r="250" spans="1:5" x14ac:dyDescent="0.3">
      <c r="A250">
        <v>248</v>
      </c>
      <c r="B250">
        <v>249.40199999999999</v>
      </c>
      <c r="C250">
        <v>249.55799999999999</v>
      </c>
      <c r="D250">
        <f t="shared" si="9"/>
        <v>1.1578306235348316E-2</v>
      </c>
      <c r="E250">
        <f t="shared" si="10"/>
        <v>8.9153158121680672E-3</v>
      </c>
    </row>
    <row r="251" spans="1:5" x14ac:dyDescent="0.3">
      <c r="A251">
        <v>249</v>
      </c>
      <c r="B251">
        <v>250.93600000000001</v>
      </c>
      <c r="C251">
        <v>250.74</v>
      </c>
      <c r="D251">
        <f t="shared" si="9"/>
        <v>6.1318740791822639E-3</v>
      </c>
      <c r="E251">
        <f t="shared" si="10"/>
        <v>4.7251925822311188E-3</v>
      </c>
    </row>
    <row r="252" spans="1:5" x14ac:dyDescent="0.3">
      <c r="A252">
        <v>250</v>
      </c>
      <c r="B252">
        <v>247.405</v>
      </c>
      <c r="C252">
        <v>248.01900000000001</v>
      </c>
      <c r="D252">
        <f t="shared" si="9"/>
        <v>-1.4171256599057071E-2</v>
      </c>
      <c r="E252">
        <f t="shared" si="10"/>
        <v>-1.0911189554289654E-2</v>
      </c>
    </row>
    <row r="253" spans="1:5" x14ac:dyDescent="0.3">
      <c r="A253">
        <v>251</v>
      </c>
      <c r="B253">
        <v>246.971</v>
      </c>
      <c r="C253">
        <v>247.684</v>
      </c>
      <c r="D253">
        <f t="shared" si="9"/>
        <v>-1.7557491119688364E-3</v>
      </c>
      <c r="E253">
        <f t="shared" si="10"/>
        <v>-1.3516159918338913E-3</v>
      </c>
    </row>
    <row r="254" spans="1:5" x14ac:dyDescent="0.3">
      <c r="A254">
        <v>252</v>
      </c>
      <c r="B254">
        <v>245.60599999999999</v>
      </c>
      <c r="C254">
        <v>246.62899999999999</v>
      </c>
      <c r="D254">
        <f t="shared" si="9"/>
        <v>-5.5422948861220305E-3</v>
      </c>
      <c r="E254">
        <f t="shared" si="10"/>
        <v>-4.2685569745972768E-3</v>
      </c>
    </row>
    <row r="255" spans="1:5" x14ac:dyDescent="0.3">
      <c r="A255">
        <v>253</v>
      </c>
      <c r="B255">
        <v>248.101</v>
      </c>
      <c r="C255">
        <v>248.55699999999999</v>
      </c>
      <c r="D255">
        <f t="shared" si="9"/>
        <v>1.0107295380434362E-2</v>
      </c>
      <c r="E255">
        <f t="shared" si="10"/>
        <v>7.7870123243586652E-3</v>
      </c>
    </row>
    <row r="256" spans="1:5" x14ac:dyDescent="0.3">
      <c r="A256">
        <v>254</v>
      </c>
      <c r="B256">
        <v>252.18899999999999</v>
      </c>
      <c r="C256">
        <v>251.70500000000001</v>
      </c>
      <c r="D256">
        <f t="shared" si="9"/>
        <v>1.6342885079527636E-2</v>
      </c>
      <c r="E256">
        <f t="shared" si="10"/>
        <v>1.258557137100216E-2</v>
      </c>
    </row>
    <row r="257" spans="1:5" x14ac:dyDescent="0.3">
      <c r="A257">
        <v>255</v>
      </c>
      <c r="B257">
        <v>247.893</v>
      </c>
      <c r="C257">
        <v>248.39699999999999</v>
      </c>
      <c r="D257">
        <f t="shared" si="9"/>
        <v>-1.7181604951917725E-2</v>
      </c>
      <c r="E257">
        <f t="shared" si="10"/>
        <v>-1.3229494170812591E-2</v>
      </c>
    </row>
    <row r="258" spans="1:5" x14ac:dyDescent="0.3">
      <c r="A258">
        <v>256</v>
      </c>
      <c r="B258">
        <v>252.40600000000001</v>
      </c>
      <c r="C258">
        <v>251.87299999999999</v>
      </c>
      <c r="D258">
        <f t="shared" si="9"/>
        <v>1.8041700725270286E-2</v>
      </c>
      <c r="E258">
        <f t="shared" si="10"/>
        <v>1.3896719531065244E-2</v>
      </c>
    </row>
    <row r="259" spans="1:5" x14ac:dyDescent="0.3">
      <c r="A259">
        <v>257</v>
      </c>
      <c r="B259">
        <v>253.77500000000001</v>
      </c>
      <c r="C259">
        <v>252.92400000000001</v>
      </c>
      <c r="D259">
        <f t="shared" si="9"/>
        <v>5.4091454951729918E-3</v>
      </c>
      <c r="E259">
        <f t="shared" si="10"/>
        <v>4.164056120138644E-3</v>
      </c>
    </row>
    <row r="260" spans="1:5" x14ac:dyDescent="0.3">
      <c r="A260">
        <v>258</v>
      </c>
      <c r="B260">
        <v>251.14400000000001</v>
      </c>
      <c r="C260">
        <v>250.90299999999999</v>
      </c>
      <c r="D260">
        <f t="shared" ref="D260:D323" si="11">LN(B260/B259)</f>
        <v>-1.0421567865328789E-2</v>
      </c>
      <c r="E260">
        <f t="shared" ref="E260:E323" si="12">LN(C260/C259)</f>
        <v>-8.0226380870554795E-3</v>
      </c>
    </row>
    <row r="261" spans="1:5" x14ac:dyDescent="0.3">
      <c r="A261">
        <v>259</v>
      </c>
      <c r="B261">
        <v>251.33099999999999</v>
      </c>
      <c r="C261">
        <v>251.04599999999999</v>
      </c>
      <c r="D261">
        <f t="shared" si="11"/>
        <v>7.4431567195674627E-4</v>
      </c>
      <c r="E261">
        <f t="shared" si="12"/>
        <v>5.6977901686720964E-4</v>
      </c>
    </row>
    <row r="262" spans="1:5" x14ac:dyDescent="0.3">
      <c r="A262">
        <v>260</v>
      </c>
      <c r="B262">
        <v>253.39699999999999</v>
      </c>
      <c r="C262">
        <v>252.63399999999999</v>
      </c>
      <c r="D262">
        <f t="shared" si="11"/>
        <v>8.1866333500948772E-3</v>
      </c>
      <c r="E262">
        <f t="shared" si="12"/>
        <v>6.3056117442332783E-3</v>
      </c>
    </row>
    <row r="263" spans="1:5" x14ac:dyDescent="0.3">
      <c r="A263">
        <v>261</v>
      </c>
      <c r="B263">
        <v>246.97</v>
      </c>
      <c r="C263">
        <v>247.684</v>
      </c>
      <c r="D263">
        <f t="shared" si="11"/>
        <v>-2.5690557065677265E-2</v>
      </c>
      <c r="E263">
        <f t="shared" si="12"/>
        <v>-1.9788060875199725E-2</v>
      </c>
    </row>
    <row r="264" spans="1:5" x14ac:dyDescent="0.3">
      <c r="A264">
        <v>262</v>
      </c>
      <c r="B264">
        <v>246.13300000000001</v>
      </c>
      <c r="C264">
        <v>247.03800000000001</v>
      </c>
      <c r="D264">
        <f t="shared" si="11"/>
        <v>-3.3948315214480441E-3</v>
      </c>
      <c r="E264">
        <f t="shared" si="12"/>
        <v>-2.6115691930381035E-3</v>
      </c>
    </row>
    <row r="265" spans="1:5" x14ac:dyDescent="0.3">
      <c r="A265">
        <v>263</v>
      </c>
      <c r="B265">
        <v>243.26</v>
      </c>
      <c r="C265">
        <v>244.81399999999999</v>
      </c>
      <c r="D265">
        <f t="shared" si="11"/>
        <v>-1.1741210049802137E-2</v>
      </c>
      <c r="E265">
        <f t="shared" si="12"/>
        <v>-9.0434324033224159E-3</v>
      </c>
    </row>
    <row r="266" spans="1:5" x14ac:dyDescent="0.3">
      <c r="A266">
        <v>264</v>
      </c>
      <c r="B266">
        <v>243.566</v>
      </c>
      <c r="C266">
        <v>245.05099999999999</v>
      </c>
      <c r="D266">
        <f t="shared" si="11"/>
        <v>1.2571228336167785E-3</v>
      </c>
      <c r="E266">
        <f t="shared" si="12"/>
        <v>9.6761360167175309E-4</v>
      </c>
    </row>
    <row r="267" spans="1:5" x14ac:dyDescent="0.3">
      <c r="A267">
        <v>265</v>
      </c>
      <c r="B267">
        <v>241.577</v>
      </c>
      <c r="C267">
        <v>243.50899999999999</v>
      </c>
      <c r="D267">
        <f t="shared" si="11"/>
        <v>-8.1996901704253396E-3</v>
      </c>
      <c r="E267">
        <f t="shared" si="12"/>
        <v>-6.3124493218365101E-3</v>
      </c>
    </row>
    <row r="268" spans="1:5" x14ac:dyDescent="0.3">
      <c r="A268">
        <v>266</v>
      </c>
      <c r="B268">
        <v>238.14</v>
      </c>
      <c r="C268">
        <v>241.08199999999999</v>
      </c>
      <c r="D268">
        <f t="shared" si="11"/>
        <v>-1.4329526830452698E-2</v>
      </c>
      <c r="E268">
        <f t="shared" si="12"/>
        <v>-1.0016778243471232E-2</v>
      </c>
    </row>
    <row r="269" spans="1:5" x14ac:dyDescent="0.3">
      <c r="A269">
        <v>267</v>
      </c>
      <c r="B269">
        <v>234.86</v>
      </c>
      <c r="C269">
        <v>238.755</v>
      </c>
      <c r="D269">
        <f t="shared" si="11"/>
        <v>-1.3869144086093819E-2</v>
      </c>
      <c r="E269">
        <f t="shared" si="12"/>
        <v>-9.6992030318316588E-3</v>
      </c>
    </row>
    <row r="270" spans="1:5" x14ac:dyDescent="0.3">
      <c r="A270">
        <v>268</v>
      </c>
      <c r="B270">
        <v>234.495</v>
      </c>
      <c r="C270">
        <v>238.49600000000001</v>
      </c>
      <c r="D270">
        <f t="shared" si="11"/>
        <v>-1.5553262395378018E-3</v>
      </c>
      <c r="E270">
        <f t="shared" si="12"/>
        <v>-1.0853828506440196E-3</v>
      </c>
    </row>
    <row r="271" spans="1:5" x14ac:dyDescent="0.3">
      <c r="A271">
        <v>269</v>
      </c>
      <c r="B271">
        <v>233.58500000000001</v>
      </c>
      <c r="C271">
        <v>237.84899999999999</v>
      </c>
      <c r="D271">
        <f t="shared" si="11"/>
        <v>-3.8882291337923231E-3</v>
      </c>
      <c r="E271">
        <f t="shared" si="12"/>
        <v>-2.7165201602915539E-3</v>
      </c>
    </row>
    <row r="272" spans="1:5" x14ac:dyDescent="0.3">
      <c r="A272">
        <v>270</v>
      </c>
      <c r="B272">
        <v>227.61799999999999</v>
      </c>
      <c r="C272">
        <v>233.584</v>
      </c>
      <c r="D272">
        <f t="shared" si="11"/>
        <v>-2.5877251322578201E-2</v>
      </c>
      <c r="E272">
        <f t="shared" si="12"/>
        <v>-1.8094263081367769E-2</v>
      </c>
    </row>
    <row r="273" spans="1:5" x14ac:dyDescent="0.3">
      <c r="A273">
        <v>271</v>
      </c>
      <c r="B273">
        <v>226.83500000000001</v>
      </c>
      <c r="C273">
        <v>233.071</v>
      </c>
      <c r="D273">
        <f t="shared" si="11"/>
        <v>-3.4459043060341946E-3</v>
      </c>
      <c r="E273">
        <f t="shared" si="12"/>
        <v>-2.1986272799042763E-3</v>
      </c>
    </row>
    <row r="274" spans="1:5" x14ac:dyDescent="0.3">
      <c r="A274">
        <v>272</v>
      </c>
      <c r="B274">
        <v>225.08500000000001</v>
      </c>
      <c r="C274">
        <v>231.92099999999999</v>
      </c>
      <c r="D274">
        <f t="shared" si="11"/>
        <v>-7.7447722928528587E-3</v>
      </c>
      <c r="E274">
        <f t="shared" si="12"/>
        <v>-4.9463317419496857E-3</v>
      </c>
    </row>
    <row r="275" spans="1:5" x14ac:dyDescent="0.3">
      <c r="A275">
        <v>273</v>
      </c>
      <c r="B275">
        <v>222.19499999999999</v>
      </c>
      <c r="C275">
        <v>230.01499999999999</v>
      </c>
      <c r="D275">
        <f t="shared" si="11"/>
        <v>-1.2922733940014672E-2</v>
      </c>
      <c r="E275">
        <f t="shared" si="12"/>
        <v>-8.2522722478321712E-3</v>
      </c>
    </row>
    <row r="276" spans="1:5" x14ac:dyDescent="0.3">
      <c r="A276">
        <v>274</v>
      </c>
      <c r="B276">
        <v>219.95599999999999</v>
      </c>
      <c r="C276">
        <v>228.53200000000001</v>
      </c>
      <c r="D276">
        <f t="shared" si="11"/>
        <v>-1.0127848352430739E-2</v>
      </c>
      <c r="E276">
        <f t="shared" si="12"/>
        <v>-6.4682798952149434E-3</v>
      </c>
    </row>
    <row r="277" spans="1:5" x14ac:dyDescent="0.3">
      <c r="A277">
        <v>275</v>
      </c>
      <c r="B277">
        <v>219.816</v>
      </c>
      <c r="C277">
        <v>228.446</v>
      </c>
      <c r="D277">
        <f t="shared" si="11"/>
        <v>-6.3669358089835809E-4</v>
      </c>
      <c r="E277">
        <f t="shared" si="12"/>
        <v>-3.7638573854884276E-4</v>
      </c>
    </row>
    <row r="278" spans="1:5" x14ac:dyDescent="0.3">
      <c r="A278">
        <v>276</v>
      </c>
      <c r="B278">
        <v>215.57900000000001</v>
      </c>
      <c r="C278">
        <v>225.63</v>
      </c>
      <c r="D278">
        <f t="shared" si="11"/>
        <v>-1.9463401075297614E-2</v>
      </c>
      <c r="E278">
        <f t="shared" si="12"/>
        <v>-1.2403369047752884E-2</v>
      </c>
    </row>
    <row r="279" spans="1:5" x14ac:dyDescent="0.3">
      <c r="A279">
        <v>277</v>
      </c>
      <c r="B279">
        <v>215.34100000000001</v>
      </c>
      <c r="C279">
        <v>225.47800000000001</v>
      </c>
      <c r="D279">
        <f t="shared" si="11"/>
        <v>-1.1046134976331846E-3</v>
      </c>
      <c r="E279">
        <f t="shared" si="12"/>
        <v>-6.7389629867958356E-4</v>
      </c>
    </row>
    <row r="280" spans="1:5" x14ac:dyDescent="0.3">
      <c r="A280">
        <v>278</v>
      </c>
      <c r="B280">
        <v>218.548</v>
      </c>
      <c r="C280">
        <v>227.624</v>
      </c>
      <c r="D280">
        <f t="shared" si="11"/>
        <v>1.478285184760948E-2</v>
      </c>
      <c r="E280">
        <f t="shared" si="12"/>
        <v>9.4725516398255442E-3</v>
      </c>
    </row>
    <row r="281" spans="1:5" x14ac:dyDescent="0.3">
      <c r="A281">
        <v>279</v>
      </c>
      <c r="B281">
        <v>221.49100000000001</v>
      </c>
      <c r="C281">
        <v>229.584</v>
      </c>
      <c r="D281">
        <f t="shared" si="11"/>
        <v>1.3376286562035392E-2</v>
      </c>
      <c r="E281">
        <f t="shared" si="12"/>
        <v>8.5738307584835634E-3</v>
      </c>
    </row>
    <row r="282" spans="1:5" x14ac:dyDescent="0.3">
      <c r="A282">
        <v>280</v>
      </c>
      <c r="B282">
        <v>219.035</v>
      </c>
      <c r="C282">
        <v>227.96100000000001</v>
      </c>
      <c r="D282">
        <f t="shared" si="11"/>
        <v>-1.1150422206843449E-2</v>
      </c>
      <c r="E282">
        <f t="shared" si="12"/>
        <v>-7.0944139143587371E-3</v>
      </c>
    </row>
    <row r="283" spans="1:5" x14ac:dyDescent="0.3">
      <c r="A283">
        <v>281</v>
      </c>
      <c r="B283">
        <v>222.73</v>
      </c>
      <c r="C283">
        <v>230.417</v>
      </c>
      <c r="D283">
        <f t="shared" si="11"/>
        <v>1.6728741164726533E-2</v>
      </c>
      <c r="E283">
        <f t="shared" si="12"/>
        <v>1.0716149130307762E-2</v>
      </c>
    </row>
    <row r="284" spans="1:5" x14ac:dyDescent="0.3">
      <c r="A284">
        <v>282</v>
      </c>
      <c r="B284">
        <v>219.73500000000001</v>
      </c>
      <c r="C284">
        <v>228.44</v>
      </c>
      <c r="D284">
        <f t="shared" si="11"/>
        <v>-1.3538000713550135E-2</v>
      </c>
      <c r="E284">
        <f t="shared" si="12"/>
        <v>-8.617117025337559E-3</v>
      </c>
    </row>
    <row r="285" spans="1:5" x14ac:dyDescent="0.3">
      <c r="A285">
        <v>283</v>
      </c>
      <c r="B285">
        <v>218.76499999999999</v>
      </c>
      <c r="C285">
        <v>227.80199999999999</v>
      </c>
      <c r="D285">
        <f t="shared" si="11"/>
        <v>-4.4241805344608122E-3</v>
      </c>
      <c r="E285">
        <f t="shared" si="12"/>
        <v>-2.7967631908656304E-3</v>
      </c>
    </row>
    <row r="286" spans="1:5" x14ac:dyDescent="0.3">
      <c r="A286">
        <v>284</v>
      </c>
      <c r="B286">
        <v>215.86600000000001</v>
      </c>
      <c r="C286">
        <v>225.876</v>
      </c>
      <c r="D286">
        <f t="shared" si="11"/>
        <v>-1.3340249510907926E-2</v>
      </c>
      <c r="E286">
        <f t="shared" si="12"/>
        <v>-8.490654475755182E-3</v>
      </c>
    </row>
    <row r="287" spans="1:5" x14ac:dyDescent="0.3">
      <c r="A287">
        <v>285</v>
      </c>
      <c r="B287">
        <v>216.33500000000001</v>
      </c>
      <c r="C287">
        <v>226.197</v>
      </c>
      <c r="D287">
        <f t="shared" si="11"/>
        <v>2.1702873620756107E-3</v>
      </c>
      <c r="E287">
        <f t="shared" si="12"/>
        <v>1.4201248645603467E-3</v>
      </c>
    </row>
    <row r="288" spans="1:5" x14ac:dyDescent="0.3">
      <c r="A288">
        <v>286</v>
      </c>
      <c r="B288">
        <v>217.768</v>
      </c>
      <c r="C288">
        <v>227.15899999999999</v>
      </c>
      <c r="D288">
        <f t="shared" si="11"/>
        <v>6.6021437546663567E-3</v>
      </c>
      <c r="E288">
        <f t="shared" si="12"/>
        <v>4.2439118214575777E-3</v>
      </c>
    </row>
    <row r="289" spans="1:5" x14ac:dyDescent="0.3">
      <c r="A289">
        <v>287</v>
      </c>
      <c r="B289">
        <v>216.87100000000001</v>
      </c>
      <c r="C289">
        <v>226.56800000000001</v>
      </c>
      <c r="D289">
        <f t="shared" si="11"/>
        <v>-4.1275691942163108E-3</v>
      </c>
      <c r="E289">
        <f t="shared" si="12"/>
        <v>-2.6050921996501183E-3</v>
      </c>
    </row>
    <row r="290" spans="1:5" x14ac:dyDescent="0.3">
      <c r="A290">
        <v>288</v>
      </c>
      <c r="B290">
        <v>212.70699999999999</v>
      </c>
      <c r="C290">
        <v>223.786</v>
      </c>
      <c r="D290">
        <f t="shared" si="11"/>
        <v>-1.9387074860174776E-2</v>
      </c>
      <c r="E290">
        <f t="shared" si="12"/>
        <v>-1.2354882548723679E-2</v>
      </c>
    </row>
    <row r="291" spans="1:5" x14ac:dyDescent="0.3">
      <c r="A291">
        <v>289</v>
      </c>
      <c r="B291">
        <v>213.59899999999999</v>
      </c>
      <c r="C291">
        <v>224.345</v>
      </c>
      <c r="D291">
        <f t="shared" si="11"/>
        <v>4.1847935603154746E-3</v>
      </c>
      <c r="E291">
        <f t="shared" si="12"/>
        <v>2.4948075002071152E-3</v>
      </c>
    </row>
    <row r="292" spans="1:5" x14ac:dyDescent="0.3">
      <c r="A292">
        <v>290</v>
      </c>
      <c r="B292">
        <v>214.816</v>
      </c>
      <c r="C292">
        <v>225.167</v>
      </c>
      <c r="D292">
        <f t="shared" si="11"/>
        <v>5.6814223292002575E-3</v>
      </c>
      <c r="E292">
        <f t="shared" si="12"/>
        <v>3.6573035480559494E-3</v>
      </c>
    </row>
    <row r="293" spans="1:5" x14ac:dyDescent="0.3">
      <c r="A293">
        <v>291</v>
      </c>
      <c r="B293">
        <v>219.11799999999999</v>
      </c>
      <c r="C293">
        <v>228.04400000000001</v>
      </c>
      <c r="D293">
        <f t="shared" si="11"/>
        <v>1.9828549738060579E-2</v>
      </c>
      <c r="E293">
        <f t="shared" si="12"/>
        <v>1.2696243675914232E-2</v>
      </c>
    </row>
    <row r="294" spans="1:5" x14ac:dyDescent="0.3">
      <c r="A294">
        <v>292</v>
      </c>
      <c r="B294">
        <v>217.66</v>
      </c>
      <c r="C294">
        <v>227.08099999999999</v>
      </c>
      <c r="D294">
        <f t="shared" si="11"/>
        <v>-6.6761852264859683E-3</v>
      </c>
      <c r="E294">
        <f t="shared" si="12"/>
        <v>-4.2318107646665938E-3</v>
      </c>
    </row>
    <row r="295" spans="1:5" x14ac:dyDescent="0.3">
      <c r="A295">
        <v>293</v>
      </c>
      <c r="B295">
        <v>217.94200000000001</v>
      </c>
      <c r="C295">
        <v>227.27600000000001</v>
      </c>
      <c r="D295">
        <f t="shared" si="11"/>
        <v>1.2947600763793118E-3</v>
      </c>
      <c r="E295">
        <f t="shared" si="12"/>
        <v>8.5835592704685518E-4</v>
      </c>
    </row>
    <row r="296" spans="1:5" x14ac:dyDescent="0.3">
      <c r="A296">
        <v>294</v>
      </c>
      <c r="B296">
        <v>219.16</v>
      </c>
      <c r="C296">
        <v>228.09299999999999</v>
      </c>
      <c r="D296">
        <f t="shared" si="11"/>
        <v>5.5730843259200859E-3</v>
      </c>
      <c r="E296">
        <f t="shared" si="12"/>
        <v>3.5883025705967298E-3</v>
      </c>
    </row>
    <row r="297" spans="1:5" x14ac:dyDescent="0.3">
      <c r="A297">
        <v>295</v>
      </c>
      <c r="B297">
        <v>218.59700000000001</v>
      </c>
      <c r="C297">
        <v>227.726</v>
      </c>
      <c r="D297">
        <f t="shared" si="11"/>
        <v>-2.5722047181963486E-3</v>
      </c>
      <c r="E297">
        <f t="shared" si="12"/>
        <v>-1.6102886422174844E-3</v>
      </c>
    </row>
    <row r="298" spans="1:5" x14ac:dyDescent="0.3">
      <c r="A298">
        <v>296</v>
      </c>
      <c r="B298">
        <v>218.07400000000001</v>
      </c>
      <c r="C298">
        <v>227.38499999999999</v>
      </c>
      <c r="D298">
        <f t="shared" si="11"/>
        <v>-2.3953972216061775E-3</v>
      </c>
      <c r="E298">
        <f t="shared" si="12"/>
        <v>-1.4985358025305631E-3</v>
      </c>
    </row>
    <row r="299" spans="1:5" x14ac:dyDescent="0.3">
      <c r="A299">
        <v>297</v>
      </c>
      <c r="B299">
        <v>219.42599999999999</v>
      </c>
      <c r="C299">
        <v>228.292</v>
      </c>
      <c r="D299">
        <f t="shared" si="11"/>
        <v>6.1805911032265159E-3</v>
      </c>
      <c r="E299">
        <f t="shared" si="12"/>
        <v>3.9808952297727797E-3</v>
      </c>
    </row>
    <row r="300" spans="1:5" x14ac:dyDescent="0.3">
      <c r="A300">
        <v>298</v>
      </c>
      <c r="B300">
        <v>217.15600000000001</v>
      </c>
      <c r="C300">
        <v>226.78700000000001</v>
      </c>
      <c r="D300">
        <f t="shared" si="11"/>
        <v>-1.0399056564484324E-2</v>
      </c>
      <c r="E300">
        <f t="shared" si="12"/>
        <v>-6.6142603230623966E-3</v>
      </c>
    </row>
    <row r="301" spans="1:5" x14ac:dyDescent="0.3">
      <c r="A301">
        <v>299</v>
      </c>
      <c r="B301">
        <v>223.87799999999999</v>
      </c>
      <c r="C301">
        <v>231.25399999999999</v>
      </c>
      <c r="D301">
        <f t="shared" si="11"/>
        <v>3.0485271356945644E-2</v>
      </c>
      <c r="E301">
        <f t="shared" si="12"/>
        <v>1.950542255343371E-2</v>
      </c>
    </row>
    <row r="302" spans="1:5" x14ac:dyDescent="0.3">
      <c r="A302">
        <v>300</v>
      </c>
      <c r="B302">
        <v>226.86099999999999</v>
      </c>
      <c r="C302">
        <v>233.22499999999999</v>
      </c>
      <c r="D302">
        <f t="shared" si="11"/>
        <v>1.3236234500017775E-2</v>
      </c>
      <c r="E302">
        <f t="shared" si="12"/>
        <v>8.486979306789438E-3</v>
      </c>
    </row>
    <row r="303" spans="1:5" x14ac:dyDescent="0.3">
      <c r="A303">
        <v>301</v>
      </c>
      <c r="B303">
        <v>227.178</v>
      </c>
      <c r="C303">
        <v>233.44</v>
      </c>
      <c r="D303">
        <f t="shared" si="11"/>
        <v>1.3963560465400579E-3</v>
      </c>
      <c r="E303">
        <f t="shared" si="12"/>
        <v>9.2143192745087023E-4</v>
      </c>
    </row>
    <row r="304" spans="1:5" x14ac:dyDescent="0.3">
      <c r="A304">
        <v>302</v>
      </c>
      <c r="B304">
        <v>229.69800000000001</v>
      </c>
      <c r="C304">
        <v>235.09800000000001</v>
      </c>
      <c r="D304">
        <f t="shared" si="11"/>
        <v>1.1031551475345758E-2</v>
      </c>
      <c r="E304">
        <f t="shared" si="12"/>
        <v>7.0773637170734663E-3</v>
      </c>
    </row>
    <row r="305" spans="1:5" x14ac:dyDescent="0.3">
      <c r="A305">
        <v>303</v>
      </c>
      <c r="B305">
        <v>230.589</v>
      </c>
      <c r="C305">
        <v>235.74100000000001</v>
      </c>
      <c r="D305">
        <f t="shared" si="11"/>
        <v>3.8715024013198044E-3</v>
      </c>
      <c r="E305">
        <f t="shared" si="12"/>
        <v>2.7312962593605532E-3</v>
      </c>
    </row>
    <row r="306" spans="1:5" x14ac:dyDescent="0.3">
      <c r="A306">
        <v>304</v>
      </c>
      <c r="B306">
        <v>228.88300000000001</v>
      </c>
      <c r="C306">
        <v>234.52600000000001</v>
      </c>
      <c r="D306">
        <f t="shared" si="11"/>
        <v>-7.4259490882307554E-3</v>
      </c>
      <c r="E306">
        <f t="shared" si="12"/>
        <v>-5.1672888102387189E-3</v>
      </c>
    </row>
    <row r="307" spans="1:5" x14ac:dyDescent="0.3">
      <c r="A307">
        <v>305</v>
      </c>
      <c r="B307">
        <v>229.27099999999999</v>
      </c>
      <c r="C307">
        <v>234.81</v>
      </c>
      <c r="D307">
        <f t="shared" si="11"/>
        <v>1.6937540336127339E-3</v>
      </c>
      <c r="E307">
        <f t="shared" si="12"/>
        <v>1.2102205441857641E-3</v>
      </c>
    </row>
    <row r="308" spans="1:5" x14ac:dyDescent="0.3">
      <c r="A308">
        <v>306</v>
      </c>
      <c r="B308">
        <v>230.626</v>
      </c>
      <c r="C308">
        <v>235.785</v>
      </c>
      <c r="D308">
        <f t="shared" si="11"/>
        <v>5.8926408340457086E-3</v>
      </c>
      <c r="E308">
        <f t="shared" si="12"/>
        <v>4.1436963634544251E-3</v>
      </c>
    </row>
    <row r="309" spans="1:5" x14ac:dyDescent="0.3">
      <c r="A309">
        <v>307</v>
      </c>
      <c r="B309">
        <v>229.012</v>
      </c>
      <c r="C309">
        <v>234.63499999999999</v>
      </c>
      <c r="D309">
        <f t="shared" si="11"/>
        <v>-7.0229469007105153E-3</v>
      </c>
      <c r="E309">
        <f t="shared" si="12"/>
        <v>-4.889257645846772E-3</v>
      </c>
    </row>
    <row r="310" spans="1:5" x14ac:dyDescent="0.3">
      <c r="A310">
        <v>308</v>
      </c>
      <c r="B310">
        <v>230.89</v>
      </c>
      <c r="C310">
        <v>235.98500000000001</v>
      </c>
      <c r="D310">
        <f t="shared" si="11"/>
        <v>8.1670027028710665E-3</v>
      </c>
      <c r="E310">
        <f t="shared" si="12"/>
        <v>5.737128481132836E-3</v>
      </c>
    </row>
    <row r="311" spans="1:5" x14ac:dyDescent="0.3">
      <c r="A311">
        <v>309</v>
      </c>
      <c r="B311">
        <v>228.79</v>
      </c>
      <c r="C311">
        <v>234.48699999999999</v>
      </c>
      <c r="D311">
        <f t="shared" si="11"/>
        <v>-9.1368543741235219E-3</v>
      </c>
      <c r="E311">
        <f t="shared" si="12"/>
        <v>-6.3680944341689095E-3</v>
      </c>
    </row>
    <row r="312" spans="1:5" x14ac:dyDescent="0.3">
      <c r="A312">
        <v>310</v>
      </c>
      <c r="B312">
        <v>230.15700000000001</v>
      </c>
      <c r="C312">
        <v>235.47200000000001</v>
      </c>
      <c r="D312">
        <f t="shared" si="11"/>
        <v>5.9571324907105906E-3</v>
      </c>
      <c r="E312">
        <f t="shared" si="12"/>
        <v>4.191861172329156E-3</v>
      </c>
    </row>
    <row r="313" spans="1:5" x14ac:dyDescent="0.3">
      <c r="A313">
        <v>311</v>
      </c>
      <c r="B313">
        <v>226.06700000000001</v>
      </c>
      <c r="C313">
        <v>232.54400000000001</v>
      </c>
      <c r="D313">
        <f t="shared" si="11"/>
        <v>-1.7930269233857175E-2</v>
      </c>
      <c r="E313">
        <f t="shared" si="12"/>
        <v>-1.2512555987531645E-2</v>
      </c>
    </row>
    <row r="314" spans="1:5" x14ac:dyDescent="0.3">
      <c r="A314">
        <v>312</v>
      </c>
      <c r="B314">
        <v>226.60300000000001</v>
      </c>
      <c r="C314">
        <v>232.90299999999999</v>
      </c>
      <c r="D314">
        <f t="shared" si="11"/>
        <v>2.368172180623043E-3</v>
      </c>
      <c r="E314">
        <f t="shared" si="12"/>
        <v>1.5426034379443475E-3</v>
      </c>
    </row>
    <row r="315" spans="1:5" x14ac:dyDescent="0.3">
      <c r="A315">
        <v>313</v>
      </c>
      <c r="B315">
        <v>224.005</v>
      </c>
      <c r="C315">
        <v>231.2</v>
      </c>
      <c r="D315">
        <f t="shared" si="11"/>
        <v>-1.1531214659773279E-2</v>
      </c>
      <c r="E315">
        <f t="shared" si="12"/>
        <v>-7.3389210739474298E-3</v>
      </c>
    </row>
    <row r="316" spans="1:5" x14ac:dyDescent="0.3">
      <c r="A316">
        <v>314</v>
      </c>
      <c r="B316">
        <v>224.113</v>
      </c>
      <c r="C316">
        <v>231.279</v>
      </c>
      <c r="D316">
        <f t="shared" si="11"/>
        <v>4.8201590693098233E-4</v>
      </c>
      <c r="E316">
        <f t="shared" si="12"/>
        <v>3.4163713711708667E-4</v>
      </c>
    </row>
    <row r="317" spans="1:5" x14ac:dyDescent="0.3">
      <c r="A317">
        <v>315</v>
      </c>
      <c r="B317">
        <v>219.79300000000001</v>
      </c>
      <c r="C317">
        <v>228.428</v>
      </c>
      <c r="D317">
        <f t="shared" si="11"/>
        <v>-1.9464194612790531E-2</v>
      </c>
      <c r="E317">
        <f t="shared" si="12"/>
        <v>-1.2403711723304641E-2</v>
      </c>
    </row>
    <row r="318" spans="1:5" x14ac:dyDescent="0.3">
      <c r="A318">
        <v>316</v>
      </c>
      <c r="B318">
        <v>220.643</v>
      </c>
      <c r="C318">
        <v>228.99799999999999</v>
      </c>
      <c r="D318">
        <f t="shared" si="11"/>
        <v>3.8598164332056292E-3</v>
      </c>
      <c r="E318">
        <f t="shared" si="12"/>
        <v>2.49220767961223E-3</v>
      </c>
    </row>
    <row r="319" spans="1:5" x14ac:dyDescent="0.3">
      <c r="A319">
        <v>317</v>
      </c>
      <c r="B319">
        <v>220.33199999999999</v>
      </c>
      <c r="C319">
        <v>228.8</v>
      </c>
      <c r="D319">
        <f t="shared" si="11"/>
        <v>-1.4105110337877991E-3</v>
      </c>
      <c r="E319">
        <f t="shared" si="12"/>
        <v>-8.6501038600427958E-4</v>
      </c>
    </row>
    <row r="320" spans="1:5" x14ac:dyDescent="0.3">
      <c r="A320">
        <v>318</v>
      </c>
      <c r="B320">
        <v>220.44399999999999</v>
      </c>
      <c r="C320">
        <v>228.881</v>
      </c>
      <c r="D320">
        <f t="shared" si="11"/>
        <v>5.0819464948386156E-4</v>
      </c>
      <c r="E320">
        <f t="shared" si="12"/>
        <v>3.5395832838012819E-4</v>
      </c>
    </row>
    <row r="321" spans="1:5" x14ac:dyDescent="0.3">
      <c r="A321">
        <v>319</v>
      </c>
      <c r="B321">
        <v>220.488</v>
      </c>
      <c r="C321">
        <v>228.917</v>
      </c>
      <c r="D321">
        <f t="shared" si="11"/>
        <v>1.995772597410703E-4</v>
      </c>
      <c r="E321">
        <f t="shared" si="12"/>
        <v>1.5727460615467216E-4</v>
      </c>
    </row>
    <row r="322" spans="1:5" x14ac:dyDescent="0.3">
      <c r="A322">
        <v>320</v>
      </c>
      <c r="B322">
        <v>213.642</v>
      </c>
      <c r="C322">
        <v>224.358</v>
      </c>
      <c r="D322">
        <f t="shared" si="11"/>
        <v>-3.1541554666742147E-2</v>
      </c>
      <c r="E322">
        <f t="shared" si="12"/>
        <v>-2.0116502084737115E-2</v>
      </c>
    </row>
    <row r="323" spans="1:5" x14ac:dyDescent="0.3">
      <c r="A323">
        <v>321</v>
      </c>
      <c r="B323">
        <v>213.845</v>
      </c>
      <c r="C323">
        <v>224.5</v>
      </c>
      <c r="D323">
        <f t="shared" si="11"/>
        <v>9.4973655460311838E-4</v>
      </c>
      <c r="E323">
        <f t="shared" si="12"/>
        <v>6.3271682686845605E-4</v>
      </c>
    </row>
    <row r="324" spans="1:5" x14ac:dyDescent="0.3">
      <c r="A324">
        <v>322</v>
      </c>
      <c r="B324">
        <v>210.172</v>
      </c>
      <c r="C324">
        <v>221.905</v>
      </c>
      <c r="D324">
        <f t="shared" ref="D324:D387" si="13">LN(B324/B323)</f>
        <v>-1.7325210425083552E-2</v>
      </c>
      <c r="E324">
        <f t="shared" ref="E324:E387" si="14">LN(C324/C323)</f>
        <v>-1.162634482524268E-2</v>
      </c>
    </row>
    <row r="325" spans="1:5" x14ac:dyDescent="0.3">
      <c r="A325">
        <v>323</v>
      </c>
      <c r="B325">
        <v>209.114</v>
      </c>
      <c r="C325">
        <v>221.21700000000001</v>
      </c>
      <c r="D325">
        <f t="shared" si="13"/>
        <v>-5.0466852960448644E-3</v>
      </c>
      <c r="E325">
        <f t="shared" si="14"/>
        <v>-3.1052421357469035E-3</v>
      </c>
    </row>
    <row r="326" spans="1:5" x14ac:dyDescent="0.3">
      <c r="A326">
        <v>324</v>
      </c>
      <c r="B326">
        <v>209.23099999999999</v>
      </c>
      <c r="C326">
        <v>221.30199999999999</v>
      </c>
      <c r="D326">
        <f t="shared" si="13"/>
        <v>5.5934696506697236E-4</v>
      </c>
      <c r="E326">
        <f t="shared" si="14"/>
        <v>3.8416430049482975E-4</v>
      </c>
    </row>
    <row r="327" spans="1:5" x14ac:dyDescent="0.3">
      <c r="A327">
        <v>325</v>
      </c>
      <c r="B327">
        <v>211.834</v>
      </c>
      <c r="C327">
        <v>223.017</v>
      </c>
      <c r="D327">
        <f t="shared" si="13"/>
        <v>1.23640443156178E-2</v>
      </c>
      <c r="E327">
        <f t="shared" si="14"/>
        <v>7.7197172165593773E-3</v>
      </c>
    </row>
    <row r="328" spans="1:5" x14ac:dyDescent="0.3">
      <c r="A328">
        <v>326</v>
      </c>
      <c r="B328">
        <v>212.066</v>
      </c>
      <c r="C328">
        <v>223.17599999999999</v>
      </c>
      <c r="D328">
        <f t="shared" si="13"/>
        <v>1.0945978917863085E-3</v>
      </c>
      <c r="E328">
        <f t="shared" si="14"/>
        <v>7.1269610563209928E-4</v>
      </c>
    </row>
    <row r="329" spans="1:5" x14ac:dyDescent="0.3">
      <c r="A329">
        <v>327</v>
      </c>
      <c r="B329">
        <v>211.732</v>
      </c>
      <c r="C329">
        <v>222.965</v>
      </c>
      <c r="D329">
        <f t="shared" si="13"/>
        <v>-1.5762229607092014E-3</v>
      </c>
      <c r="E329">
        <f t="shared" si="14"/>
        <v>-9.4588937457846351E-4</v>
      </c>
    </row>
    <row r="330" spans="1:5" x14ac:dyDescent="0.3">
      <c r="A330">
        <v>328</v>
      </c>
      <c r="B330">
        <v>210.23699999999999</v>
      </c>
      <c r="C330">
        <v>221.99199999999999</v>
      </c>
      <c r="D330">
        <f t="shared" si="13"/>
        <v>-7.0858582277254587E-3</v>
      </c>
      <c r="E330">
        <f t="shared" si="14"/>
        <v>-4.37346328249749E-3</v>
      </c>
    </row>
    <row r="331" spans="1:5" x14ac:dyDescent="0.3">
      <c r="A331">
        <v>329</v>
      </c>
      <c r="B331">
        <v>210.25200000000001</v>
      </c>
      <c r="C331">
        <v>222.00899999999999</v>
      </c>
      <c r="D331">
        <f t="shared" si="13"/>
        <v>7.1345504906754659E-5</v>
      </c>
      <c r="E331">
        <f t="shared" si="14"/>
        <v>7.6576404144640002E-5</v>
      </c>
    </row>
    <row r="332" spans="1:5" x14ac:dyDescent="0.3">
      <c r="A332">
        <v>330</v>
      </c>
      <c r="B332">
        <v>210.72</v>
      </c>
      <c r="C332">
        <v>222.32300000000001</v>
      </c>
      <c r="D332">
        <f t="shared" si="13"/>
        <v>2.2234267020199983E-3</v>
      </c>
      <c r="E332">
        <f t="shared" si="14"/>
        <v>1.4133578147423661E-3</v>
      </c>
    </row>
    <row r="333" spans="1:5" x14ac:dyDescent="0.3">
      <c r="A333">
        <v>331</v>
      </c>
      <c r="B333">
        <v>209.84700000000001</v>
      </c>
      <c r="C333">
        <v>221.75700000000001</v>
      </c>
      <c r="D333">
        <f t="shared" si="13"/>
        <v>-4.1515442432198922E-3</v>
      </c>
      <c r="E333">
        <f t="shared" si="14"/>
        <v>-2.549091634312516E-3</v>
      </c>
    </row>
    <row r="334" spans="1:5" x14ac:dyDescent="0.3">
      <c r="A334">
        <v>332</v>
      </c>
      <c r="B334">
        <v>205.30500000000001</v>
      </c>
      <c r="C334">
        <v>218.768</v>
      </c>
      <c r="D334">
        <f t="shared" si="13"/>
        <v>-2.1882015420411592E-2</v>
      </c>
      <c r="E334">
        <f t="shared" si="14"/>
        <v>-1.3570380204778399E-2</v>
      </c>
    </row>
    <row r="335" spans="1:5" x14ac:dyDescent="0.3">
      <c r="A335">
        <v>333</v>
      </c>
      <c r="B335">
        <v>203.86199999999999</v>
      </c>
      <c r="C335">
        <v>217.81800000000001</v>
      </c>
      <c r="D335">
        <f t="shared" si="13"/>
        <v>-7.0533839848261554E-3</v>
      </c>
      <c r="E335">
        <f t="shared" si="14"/>
        <v>-4.3519558546456409E-3</v>
      </c>
    </row>
    <row r="336" spans="1:5" x14ac:dyDescent="0.3">
      <c r="A336">
        <v>334</v>
      </c>
      <c r="B336">
        <v>204.19200000000001</v>
      </c>
      <c r="C336">
        <v>218.04300000000001</v>
      </c>
      <c r="D336">
        <f t="shared" si="13"/>
        <v>1.6174333394232453E-3</v>
      </c>
      <c r="E336">
        <f t="shared" si="14"/>
        <v>1.0324393326598183E-3</v>
      </c>
    </row>
    <row r="337" spans="1:5" x14ac:dyDescent="0.3">
      <c r="A337">
        <v>335</v>
      </c>
      <c r="B337">
        <v>209.505</v>
      </c>
      <c r="C337">
        <v>221.56200000000001</v>
      </c>
      <c r="D337">
        <f t="shared" si="13"/>
        <v>2.5686877739907951E-2</v>
      </c>
      <c r="E337">
        <f t="shared" si="14"/>
        <v>1.6010168979583447E-2</v>
      </c>
    </row>
    <row r="338" spans="1:5" x14ac:dyDescent="0.3">
      <c r="A338">
        <v>336</v>
      </c>
      <c r="B338">
        <v>205.68799999999999</v>
      </c>
      <c r="C338">
        <v>219.011</v>
      </c>
      <c r="D338">
        <f t="shared" si="13"/>
        <v>-1.838714785316484E-2</v>
      </c>
      <c r="E338">
        <f t="shared" si="14"/>
        <v>-1.158050315871968E-2</v>
      </c>
    </row>
    <row r="339" spans="1:5" x14ac:dyDescent="0.3">
      <c r="A339">
        <v>337</v>
      </c>
      <c r="B339">
        <v>206.90299999999999</v>
      </c>
      <c r="C339">
        <v>219.78200000000001</v>
      </c>
      <c r="D339">
        <f t="shared" si="13"/>
        <v>5.8896268320348007E-3</v>
      </c>
      <c r="E339">
        <f t="shared" si="14"/>
        <v>3.5141891208694954E-3</v>
      </c>
    </row>
    <row r="340" spans="1:5" x14ac:dyDescent="0.3">
      <c r="A340">
        <v>338</v>
      </c>
      <c r="B340">
        <v>210.65</v>
      </c>
      <c r="C340">
        <v>222.21700000000001</v>
      </c>
      <c r="D340">
        <f t="shared" si="13"/>
        <v>1.7947904020311375E-2</v>
      </c>
      <c r="E340">
        <f t="shared" si="14"/>
        <v>1.1018235943260414E-2</v>
      </c>
    </row>
    <row r="341" spans="1:5" x14ac:dyDescent="0.3">
      <c r="A341">
        <v>339</v>
      </c>
      <c r="B341">
        <v>212.40899999999999</v>
      </c>
      <c r="C341">
        <v>223.33600000000001</v>
      </c>
      <c r="D341">
        <f t="shared" si="13"/>
        <v>8.3156729264088416E-3</v>
      </c>
      <c r="E341">
        <f t="shared" si="14"/>
        <v>5.0229820143909577E-3</v>
      </c>
    </row>
    <row r="342" spans="1:5" x14ac:dyDescent="0.3">
      <c r="A342">
        <v>340</v>
      </c>
      <c r="B342">
        <v>213.624</v>
      </c>
      <c r="C342">
        <v>224.096</v>
      </c>
      <c r="D342">
        <f t="shared" si="13"/>
        <v>5.7037989733055043E-3</v>
      </c>
      <c r="E342">
        <f t="shared" si="14"/>
        <v>3.3971675289824563E-3</v>
      </c>
    </row>
    <row r="343" spans="1:5" x14ac:dyDescent="0.3">
      <c r="A343">
        <v>341</v>
      </c>
      <c r="B343">
        <v>219.905</v>
      </c>
      <c r="C343">
        <v>228.476</v>
      </c>
      <c r="D343">
        <f t="shared" si="13"/>
        <v>2.8978174585483695E-2</v>
      </c>
      <c r="E343">
        <f t="shared" si="14"/>
        <v>1.9356640522061933E-2</v>
      </c>
    </row>
    <row r="344" spans="1:5" x14ac:dyDescent="0.3">
      <c r="A344">
        <v>342</v>
      </c>
      <c r="B344">
        <v>221.56899999999999</v>
      </c>
      <c r="C344">
        <v>229.607</v>
      </c>
      <c r="D344">
        <f t="shared" si="13"/>
        <v>7.5384184803979834E-3</v>
      </c>
      <c r="E344">
        <f t="shared" si="14"/>
        <v>4.9379797903765336E-3</v>
      </c>
    </row>
    <row r="345" spans="1:5" x14ac:dyDescent="0.3">
      <c r="A345">
        <v>343</v>
      </c>
      <c r="B345">
        <v>221.17500000000001</v>
      </c>
      <c r="C345">
        <v>229.30199999999999</v>
      </c>
      <c r="D345">
        <f t="shared" si="13"/>
        <v>-1.779810021172081E-3</v>
      </c>
      <c r="E345">
        <f t="shared" si="14"/>
        <v>-1.3292397617313007E-3</v>
      </c>
    </row>
    <row r="346" spans="1:5" x14ac:dyDescent="0.3">
      <c r="A346">
        <v>344</v>
      </c>
      <c r="B346">
        <v>222.9</v>
      </c>
      <c r="C346">
        <v>230.47300000000001</v>
      </c>
      <c r="D346">
        <f t="shared" si="13"/>
        <v>7.7689970223734483E-3</v>
      </c>
      <c r="E346">
        <f t="shared" si="14"/>
        <v>5.0938068924184518E-3</v>
      </c>
    </row>
    <row r="347" spans="1:5" x14ac:dyDescent="0.3">
      <c r="A347">
        <v>345</v>
      </c>
      <c r="B347">
        <v>227.02099999999999</v>
      </c>
      <c r="C347">
        <v>233.29900000000001</v>
      </c>
      <c r="D347">
        <f t="shared" si="13"/>
        <v>1.8319283823915442E-2</v>
      </c>
      <c r="E347">
        <f t="shared" si="14"/>
        <v>1.2187173775346945E-2</v>
      </c>
    </row>
    <row r="348" spans="1:5" x14ac:dyDescent="0.3">
      <c r="A348">
        <v>346</v>
      </c>
      <c r="B348">
        <v>226.762</v>
      </c>
      <c r="C348">
        <v>233.08799999999999</v>
      </c>
      <c r="D348">
        <f t="shared" si="13"/>
        <v>-1.1415149008415688E-3</v>
      </c>
      <c r="E348">
        <f t="shared" si="14"/>
        <v>-9.0482802649185915E-4</v>
      </c>
    </row>
    <row r="349" spans="1:5" x14ac:dyDescent="0.3">
      <c r="A349">
        <v>347</v>
      </c>
      <c r="B349">
        <v>222.869</v>
      </c>
      <c r="C349">
        <v>230.357</v>
      </c>
      <c r="D349">
        <f t="shared" si="13"/>
        <v>-1.7316854413765171E-2</v>
      </c>
      <c r="E349">
        <f t="shared" si="14"/>
        <v>-1.1785785205704813E-2</v>
      </c>
    </row>
    <row r="350" spans="1:5" x14ac:dyDescent="0.3">
      <c r="A350">
        <v>348</v>
      </c>
      <c r="B350">
        <v>223.66200000000001</v>
      </c>
      <c r="C350">
        <v>230.876</v>
      </c>
      <c r="D350">
        <f t="shared" si="13"/>
        <v>3.5518288032557613E-3</v>
      </c>
      <c r="E350">
        <f t="shared" si="14"/>
        <v>2.2504903987726997E-3</v>
      </c>
    </row>
    <row r="351" spans="1:5" x14ac:dyDescent="0.3">
      <c r="A351">
        <v>349</v>
      </c>
      <c r="B351">
        <v>226.13300000000001</v>
      </c>
      <c r="C351">
        <v>232.55699999999999</v>
      </c>
      <c r="D351">
        <f t="shared" si="13"/>
        <v>1.0987338047505667E-2</v>
      </c>
      <c r="E351">
        <f t="shared" si="14"/>
        <v>7.2545864124593101E-3</v>
      </c>
    </row>
    <row r="352" spans="1:5" x14ac:dyDescent="0.3">
      <c r="A352">
        <v>350</v>
      </c>
      <c r="B352">
        <v>228.33199999999999</v>
      </c>
      <c r="C352">
        <v>234.04300000000001</v>
      </c>
      <c r="D352">
        <f t="shared" si="13"/>
        <v>9.6773884091141838E-3</v>
      </c>
      <c r="E352">
        <f t="shared" si="14"/>
        <v>6.3695028889206601E-3</v>
      </c>
    </row>
    <row r="353" spans="1:5" x14ac:dyDescent="0.3">
      <c r="A353">
        <v>351</v>
      </c>
      <c r="B353">
        <v>227.196</v>
      </c>
      <c r="C353">
        <v>233.16399999999999</v>
      </c>
      <c r="D353">
        <f t="shared" si="13"/>
        <v>-4.9876291027952996E-3</v>
      </c>
      <c r="E353">
        <f t="shared" si="14"/>
        <v>-3.7627905280387093E-3</v>
      </c>
    </row>
    <row r="354" spans="1:5" x14ac:dyDescent="0.3">
      <c r="A354">
        <v>352</v>
      </c>
      <c r="B354">
        <v>230.13200000000001</v>
      </c>
      <c r="C354">
        <v>235.15299999999999</v>
      </c>
      <c r="D354">
        <f t="shared" si="13"/>
        <v>1.2839976283354494E-2</v>
      </c>
      <c r="E354">
        <f t="shared" si="14"/>
        <v>8.4942974923407997E-3</v>
      </c>
    </row>
    <row r="355" spans="1:5" x14ac:dyDescent="0.3">
      <c r="A355">
        <v>353</v>
      </c>
      <c r="B355">
        <v>230.52</v>
      </c>
      <c r="C355">
        <v>235.41499999999999</v>
      </c>
      <c r="D355">
        <f t="shared" si="13"/>
        <v>1.6845692268987376E-3</v>
      </c>
      <c r="E355">
        <f t="shared" si="14"/>
        <v>1.113547997624585E-3</v>
      </c>
    </row>
    <row r="356" spans="1:5" x14ac:dyDescent="0.3">
      <c r="A356">
        <v>354</v>
      </c>
      <c r="B356">
        <v>228.822</v>
      </c>
      <c r="C356">
        <v>234.119</v>
      </c>
      <c r="D356">
        <f t="shared" si="13"/>
        <v>-7.393217839153662E-3</v>
      </c>
      <c r="E356">
        <f t="shared" si="14"/>
        <v>-5.5203810214204873E-3</v>
      </c>
    </row>
    <row r="357" spans="1:5" x14ac:dyDescent="0.3">
      <c r="A357">
        <v>355</v>
      </c>
      <c r="B357">
        <v>225.024</v>
      </c>
      <c r="C357">
        <v>231.244</v>
      </c>
      <c r="D357">
        <f t="shared" si="13"/>
        <v>-1.6737345546709494E-2</v>
      </c>
      <c r="E357">
        <f t="shared" si="14"/>
        <v>-1.2356102990055205E-2</v>
      </c>
    </row>
    <row r="358" spans="1:5" x14ac:dyDescent="0.3">
      <c r="A358">
        <v>356</v>
      </c>
      <c r="B358">
        <v>224.71299999999999</v>
      </c>
      <c r="C358">
        <v>230.99600000000001</v>
      </c>
      <c r="D358">
        <f t="shared" si="13"/>
        <v>-1.3830307471821364E-3</v>
      </c>
      <c r="E358">
        <f t="shared" si="14"/>
        <v>-1.073035755433191E-3</v>
      </c>
    </row>
    <row r="359" spans="1:5" x14ac:dyDescent="0.3">
      <c r="A359">
        <v>357</v>
      </c>
      <c r="B359">
        <v>225.965</v>
      </c>
      <c r="C359">
        <v>231.827</v>
      </c>
      <c r="D359">
        <f t="shared" si="13"/>
        <v>5.5560875870565513E-3</v>
      </c>
      <c r="E359">
        <f t="shared" si="14"/>
        <v>3.5910094917613994E-3</v>
      </c>
    </row>
    <row r="360" spans="1:5" x14ac:dyDescent="0.3">
      <c r="A360">
        <v>358</v>
      </c>
      <c r="B360">
        <v>224.142</v>
      </c>
      <c r="C360">
        <v>230.53399999999999</v>
      </c>
      <c r="D360">
        <f t="shared" si="13"/>
        <v>-8.1003404438477148E-3</v>
      </c>
      <c r="E360">
        <f t="shared" si="14"/>
        <v>-5.5930468644735439E-3</v>
      </c>
    </row>
    <row r="361" spans="1:5" x14ac:dyDescent="0.3">
      <c r="A361">
        <v>359</v>
      </c>
      <c r="B361">
        <v>224.81700000000001</v>
      </c>
      <c r="C361">
        <v>230.96600000000001</v>
      </c>
      <c r="D361">
        <f t="shared" si="13"/>
        <v>3.006958357449678E-3</v>
      </c>
      <c r="E361">
        <f t="shared" si="14"/>
        <v>1.8721565598221132E-3</v>
      </c>
    </row>
    <row r="362" spans="1:5" x14ac:dyDescent="0.3">
      <c r="A362">
        <v>360</v>
      </c>
      <c r="B362">
        <v>225.24700000000001</v>
      </c>
      <c r="C362">
        <v>231.22900000000001</v>
      </c>
      <c r="D362">
        <f t="shared" si="13"/>
        <v>1.9108399287148599E-3</v>
      </c>
      <c r="E362">
        <f t="shared" si="14"/>
        <v>1.1380479165089314E-3</v>
      </c>
    </row>
    <row r="363" spans="1:5" x14ac:dyDescent="0.3">
      <c r="A363">
        <v>361</v>
      </c>
      <c r="B363">
        <v>221.262</v>
      </c>
      <c r="C363">
        <v>228.43600000000001</v>
      </c>
      <c r="D363">
        <f t="shared" si="13"/>
        <v>-1.7850058159407798E-2</v>
      </c>
      <c r="E363">
        <f t="shared" si="14"/>
        <v>-1.2152477883102648E-2</v>
      </c>
    </row>
    <row r="364" spans="1:5" x14ac:dyDescent="0.3">
      <c r="A364">
        <v>362</v>
      </c>
      <c r="B364">
        <v>224.22499999999999</v>
      </c>
      <c r="C364">
        <v>230.45400000000001</v>
      </c>
      <c r="D364">
        <f t="shared" si="13"/>
        <v>1.3302492298680791E-2</v>
      </c>
      <c r="E364">
        <f t="shared" si="14"/>
        <v>8.7951927851368673E-3</v>
      </c>
    </row>
    <row r="365" spans="1:5" x14ac:dyDescent="0.3">
      <c r="A365">
        <v>363</v>
      </c>
      <c r="B365">
        <v>221.26599999999999</v>
      </c>
      <c r="C365">
        <v>228.37</v>
      </c>
      <c r="D365">
        <f t="shared" si="13"/>
        <v>-1.3284414346550786E-2</v>
      </c>
      <c r="E365">
        <f t="shared" si="14"/>
        <v>-9.0841557167061493E-3</v>
      </c>
    </row>
    <row r="366" spans="1:5" x14ac:dyDescent="0.3">
      <c r="A366">
        <v>364</v>
      </c>
      <c r="B366">
        <v>219.99199999999999</v>
      </c>
      <c r="C366">
        <v>227.45</v>
      </c>
      <c r="D366">
        <f t="shared" si="13"/>
        <v>-5.7744156026911528E-3</v>
      </c>
      <c r="E366">
        <f t="shared" si="14"/>
        <v>-4.0366866274874087E-3</v>
      </c>
    </row>
    <row r="367" spans="1:5" x14ac:dyDescent="0.3">
      <c r="A367">
        <v>365</v>
      </c>
      <c r="B367">
        <v>217.136</v>
      </c>
      <c r="C367">
        <v>225.42500000000001</v>
      </c>
      <c r="D367">
        <f t="shared" si="13"/>
        <v>-1.3067296715809969E-2</v>
      </c>
      <c r="E367">
        <f t="shared" si="14"/>
        <v>-8.9429246300426358E-3</v>
      </c>
    </row>
    <row r="368" spans="1:5" x14ac:dyDescent="0.3">
      <c r="A368">
        <v>366</v>
      </c>
      <c r="B368">
        <v>215</v>
      </c>
      <c r="C368">
        <v>223.89699999999999</v>
      </c>
      <c r="D368">
        <f t="shared" si="13"/>
        <v>-9.8858572113520189E-3</v>
      </c>
      <c r="E368">
        <f t="shared" si="14"/>
        <v>-6.8013847097938901E-3</v>
      </c>
    </row>
    <row r="369" spans="1:5" x14ac:dyDescent="0.3">
      <c r="A369">
        <v>367</v>
      </c>
      <c r="B369">
        <v>214.42</v>
      </c>
      <c r="C369">
        <v>223.45599999999999</v>
      </c>
      <c r="D369">
        <f t="shared" si="13"/>
        <v>-2.701319699569145E-3</v>
      </c>
      <c r="E369">
        <f t="shared" si="14"/>
        <v>-1.9715980125518417E-3</v>
      </c>
    </row>
    <row r="370" spans="1:5" x14ac:dyDescent="0.3">
      <c r="A370">
        <v>368</v>
      </c>
      <c r="B370">
        <v>216.018</v>
      </c>
      <c r="C370">
        <v>224.58099999999999</v>
      </c>
      <c r="D370">
        <f t="shared" si="13"/>
        <v>7.4250291173752645E-3</v>
      </c>
      <c r="E370">
        <f t="shared" si="14"/>
        <v>5.0219172271104813E-3</v>
      </c>
    </row>
    <row r="371" spans="1:5" x14ac:dyDescent="0.3">
      <c r="A371">
        <v>369</v>
      </c>
      <c r="B371">
        <v>217.46899999999999</v>
      </c>
      <c r="C371">
        <v>225.6</v>
      </c>
      <c r="D371">
        <f t="shared" si="13"/>
        <v>6.6945740894519936E-3</v>
      </c>
      <c r="E371">
        <f t="shared" si="14"/>
        <v>4.527075733168527E-3</v>
      </c>
    </row>
    <row r="372" spans="1:5" x14ac:dyDescent="0.3">
      <c r="A372">
        <v>370</v>
      </c>
      <c r="B372">
        <v>213.952</v>
      </c>
      <c r="C372">
        <v>223.14500000000001</v>
      </c>
      <c r="D372">
        <f t="shared" si="13"/>
        <v>-1.63046208372877E-2</v>
      </c>
      <c r="E372">
        <f t="shared" si="14"/>
        <v>-1.0941735252711651E-2</v>
      </c>
    </row>
    <row r="373" spans="1:5" x14ac:dyDescent="0.3">
      <c r="A373">
        <v>371</v>
      </c>
      <c r="B373">
        <v>216.441</v>
      </c>
      <c r="C373">
        <v>224.89400000000001</v>
      </c>
      <c r="D373">
        <f t="shared" si="13"/>
        <v>1.1566302184302246E-2</v>
      </c>
      <c r="E373">
        <f t="shared" si="14"/>
        <v>7.8073957144113634E-3</v>
      </c>
    </row>
    <row r="374" spans="1:5" x14ac:dyDescent="0.3">
      <c r="A374">
        <v>372</v>
      </c>
      <c r="B374">
        <v>215.608</v>
      </c>
      <c r="C374">
        <v>224.31700000000001</v>
      </c>
      <c r="D374">
        <f t="shared" si="13"/>
        <v>-3.8560488841034172E-3</v>
      </c>
      <c r="E374">
        <f t="shared" si="14"/>
        <v>-2.5689500805907615E-3</v>
      </c>
    </row>
    <row r="375" spans="1:5" x14ac:dyDescent="0.3">
      <c r="A375">
        <v>373</v>
      </c>
      <c r="B375">
        <v>213.495</v>
      </c>
      <c r="C375">
        <v>222.84200000000001</v>
      </c>
      <c r="D375">
        <f t="shared" si="13"/>
        <v>-9.8485309071338224E-3</v>
      </c>
      <c r="E375">
        <f t="shared" si="14"/>
        <v>-6.5972298433106995E-3</v>
      </c>
    </row>
    <row r="376" spans="1:5" x14ac:dyDescent="0.3">
      <c r="A376">
        <v>374</v>
      </c>
      <c r="B376">
        <v>215.25399999999999</v>
      </c>
      <c r="C376">
        <v>224.08099999999999</v>
      </c>
      <c r="D376">
        <f t="shared" si="13"/>
        <v>8.2053129874524854E-3</v>
      </c>
      <c r="E376">
        <f t="shared" si="14"/>
        <v>5.5445934720889205E-3</v>
      </c>
    </row>
    <row r="377" spans="1:5" x14ac:dyDescent="0.3">
      <c r="A377">
        <v>375</v>
      </c>
      <c r="B377">
        <v>213.18899999999999</v>
      </c>
      <c r="C377">
        <v>222.63900000000001</v>
      </c>
      <c r="D377">
        <f t="shared" si="13"/>
        <v>-9.6396299642327824E-3</v>
      </c>
      <c r="E377">
        <f t="shared" si="14"/>
        <v>-6.4559679821176693E-3</v>
      </c>
    </row>
    <row r="378" spans="1:5" x14ac:dyDescent="0.3">
      <c r="A378">
        <v>376</v>
      </c>
      <c r="B378">
        <v>210.881</v>
      </c>
      <c r="C378">
        <v>221.02</v>
      </c>
      <c r="D378">
        <f t="shared" si="13"/>
        <v>-1.0885102877635056E-2</v>
      </c>
      <c r="E378">
        <f t="shared" si="14"/>
        <v>-7.2984304910371865E-3</v>
      </c>
    </row>
    <row r="379" spans="1:5" x14ac:dyDescent="0.3">
      <c r="A379">
        <v>377</v>
      </c>
      <c r="B379">
        <v>211.886</v>
      </c>
      <c r="C379">
        <v>221.68199999999999</v>
      </c>
      <c r="D379">
        <f t="shared" si="13"/>
        <v>4.7544008548998139E-3</v>
      </c>
      <c r="E379">
        <f t="shared" si="14"/>
        <v>2.9907273671019915E-3</v>
      </c>
    </row>
    <row r="380" spans="1:5" x14ac:dyDescent="0.3">
      <c r="A380">
        <v>378</v>
      </c>
      <c r="B380">
        <v>211.32</v>
      </c>
      <c r="C380">
        <v>221.321</v>
      </c>
      <c r="D380">
        <f t="shared" si="13"/>
        <v>-2.6748218950676363E-3</v>
      </c>
      <c r="E380">
        <f t="shared" si="14"/>
        <v>-1.6297861635584103E-3</v>
      </c>
    </row>
    <row r="381" spans="1:5" x14ac:dyDescent="0.3">
      <c r="A381">
        <v>379</v>
      </c>
      <c r="B381">
        <v>211.35300000000001</v>
      </c>
      <c r="C381">
        <v>221.34899999999999</v>
      </c>
      <c r="D381">
        <f t="shared" si="13"/>
        <v>1.561490801024996E-4</v>
      </c>
      <c r="E381">
        <f t="shared" si="14"/>
        <v>1.265050716666403E-4</v>
      </c>
    </row>
    <row r="382" spans="1:5" x14ac:dyDescent="0.3">
      <c r="A382">
        <v>380</v>
      </c>
      <c r="B382">
        <v>214.43600000000001</v>
      </c>
      <c r="C382">
        <v>223.35900000000001</v>
      </c>
      <c r="D382">
        <f t="shared" si="13"/>
        <v>1.4481604172809165E-2</v>
      </c>
      <c r="E382">
        <f t="shared" si="14"/>
        <v>9.0397010507751469E-3</v>
      </c>
    </row>
    <row r="383" spans="1:5" x14ac:dyDescent="0.3">
      <c r="A383">
        <v>381</v>
      </c>
      <c r="B383">
        <v>214.749</v>
      </c>
      <c r="C383">
        <v>223.584</v>
      </c>
      <c r="D383">
        <f t="shared" si="13"/>
        <v>1.4585787270806005E-3</v>
      </c>
      <c r="E383">
        <f t="shared" si="14"/>
        <v>1.0068398834184834E-3</v>
      </c>
    </row>
    <row r="384" spans="1:5" x14ac:dyDescent="0.3">
      <c r="A384">
        <v>382</v>
      </c>
      <c r="B384">
        <v>215.90100000000001</v>
      </c>
      <c r="C384">
        <v>224.39599999999999</v>
      </c>
      <c r="D384">
        <f t="shared" si="13"/>
        <v>5.3500650078973444E-3</v>
      </c>
      <c r="E384">
        <f t="shared" si="14"/>
        <v>3.625165807685184E-3</v>
      </c>
    </row>
    <row r="385" spans="1:5" x14ac:dyDescent="0.3">
      <c r="A385">
        <v>383</v>
      </c>
      <c r="B385">
        <v>211.31</v>
      </c>
      <c r="C385">
        <v>221.18100000000001</v>
      </c>
      <c r="D385">
        <f t="shared" si="13"/>
        <v>-2.1493719705168727E-2</v>
      </c>
      <c r="E385">
        <f t="shared" si="14"/>
        <v>-1.4430977336283235E-2</v>
      </c>
    </row>
    <row r="386" spans="1:5" x14ac:dyDescent="0.3">
      <c r="A386">
        <v>384</v>
      </c>
      <c r="B386">
        <v>210.52600000000001</v>
      </c>
      <c r="C386">
        <v>220.678</v>
      </c>
      <c r="D386">
        <f t="shared" si="13"/>
        <v>-3.7170886443735241E-3</v>
      </c>
      <c r="E386">
        <f t="shared" si="14"/>
        <v>-2.2767453747822792E-3</v>
      </c>
    </row>
    <row r="387" spans="1:5" x14ac:dyDescent="0.3">
      <c r="A387">
        <v>385</v>
      </c>
      <c r="B387">
        <v>208.81800000000001</v>
      </c>
      <c r="C387">
        <v>219.57</v>
      </c>
      <c r="D387">
        <f t="shared" si="13"/>
        <v>-8.1461017450277524E-3</v>
      </c>
      <c r="E387">
        <f t="shared" si="14"/>
        <v>-5.0335371854145997E-3</v>
      </c>
    </row>
    <row r="388" spans="1:5" x14ac:dyDescent="0.3">
      <c r="A388">
        <v>386</v>
      </c>
      <c r="B388">
        <v>203.12200000000001</v>
      </c>
      <c r="C388">
        <v>215.833</v>
      </c>
      <c r="D388">
        <f t="shared" ref="D388:D402" si="15">LN(B388/B387)</f>
        <v>-2.7656275445267817E-2</v>
      </c>
      <c r="E388">
        <f t="shared" ref="E388:E402" si="16">LN(C388/C387)</f>
        <v>-1.7166127778399289E-2</v>
      </c>
    </row>
    <row r="389" spans="1:5" x14ac:dyDescent="0.3">
      <c r="A389">
        <v>387</v>
      </c>
      <c r="B389">
        <v>204.76300000000001</v>
      </c>
      <c r="C389">
        <v>216.923</v>
      </c>
      <c r="D389">
        <f t="shared" si="15"/>
        <v>8.0464290369684829E-3</v>
      </c>
      <c r="E389">
        <f t="shared" si="16"/>
        <v>5.0374913577844772E-3</v>
      </c>
    </row>
    <row r="390" spans="1:5" x14ac:dyDescent="0.3">
      <c r="A390">
        <v>388</v>
      </c>
      <c r="B390">
        <v>201.22399999999999</v>
      </c>
      <c r="C390">
        <v>214.59100000000001</v>
      </c>
      <c r="D390">
        <f t="shared" si="15"/>
        <v>-1.7434497375122222E-2</v>
      </c>
      <c r="E390">
        <f t="shared" si="16"/>
        <v>-1.0808561033689908E-2</v>
      </c>
    </row>
    <row r="391" spans="1:5" x14ac:dyDescent="0.3">
      <c r="A391">
        <v>389</v>
      </c>
      <c r="B391">
        <v>198.499</v>
      </c>
      <c r="C391">
        <v>212.78700000000001</v>
      </c>
      <c r="D391">
        <f t="shared" si="15"/>
        <v>-1.3634653074832909E-2</v>
      </c>
      <c r="E391">
        <f t="shared" si="16"/>
        <v>-8.4422254510991106E-3</v>
      </c>
    </row>
    <row r="392" spans="1:5" x14ac:dyDescent="0.3">
      <c r="A392">
        <v>390</v>
      </c>
      <c r="B392">
        <v>200.73699999999999</v>
      </c>
      <c r="C392">
        <v>214.28200000000001</v>
      </c>
      <c r="D392">
        <f t="shared" si="15"/>
        <v>1.1211531238207947E-2</v>
      </c>
      <c r="E392">
        <f t="shared" si="16"/>
        <v>7.0012391755892613E-3</v>
      </c>
    </row>
    <row r="393" spans="1:5" x14ac:dyDescent="0.3">
      <c r="A393">
        <v>391</v>
      </c>
      <c r="B393">
        <v>196.255</v>
      </c>
      <c r="C393">
        <v>211.30199999999999</v>
      </c>
      <c r="D393">
        <f t="shared" si="15"/>
        <v>-2.2580759524415055E-2</v>
      </c>
      <c r="E393">
        <f t="shared" si="16"/>
        <v>-1.4004514758881141E-2</v>
      </c>
    </row>
    <row r="394" spans="1:5" x14ac:dyDescent="0.3">
      <c r="A394">
        <v>392</v>
      </c>
      <c r="B394">
        <v>198.45099999999999</v>
      </c>
      <c r="C394">
        <v>212.673</v>
      </c>
      <c r="D394">
        <f t="shared" si="15"/>
        <v>1.1127384224063482E-2</v>
      </c>
      <c r="E394">
        <f t="shared" si="16"/>
        <v>6.4673850049616621E-3</v>
      </c>
    </row>
    <row r="395" spans="1:5" x14ac:dyDescent="0.3">
      <c r="A395">
        <v>393</v>
      </c>
      <c r="B395">
        <v>200.06</v>
      </c>
      <c r="C395">
        <v>213.75</v>
      </c>
      <c r="D395">
        <f t="shared" si="15"/>
        <v>8.0751032879981012E-3</v>
      </c>
      <c r="E395">
        <f t="shared" si="16"/>
        <v>5.0513330193583394E-3</v>
      </c>
    </row>
    <row r="396" spans="1:5" x14ac:dyDescent="0.3">
      <c r="A396">
        <v>394</v>
      </c>
      <c r="B396">
        <v>204.404</v>
      </c>
      <c r="C396">
        <v>216.63200000000001</v>
      </c>
      <c r="D396">
        <f t="shared" si="15"/>
        <v>2.1481106052659266E-2</v>
      </c>
      <c r="E396">
        <f t="shared" si="16"/>
        <v>1.3392953603338033E-2</v>
      </c>
    </row>
    <row r="397" spans="1:5" x14ac:dyDescent="0.3">
      <c r="A397">
        <v>395</v>
      </c>
      <c r="B397">
        <v>207.89400000000001</v>
      </c>
      <c r="C397">
        <v>218.93199999999999</v>
      </c>
      <c r="D397">
        <f t="shared" si="15"/>
        <v>1.6929906808954683E-2</v>
      </c>
      <c r="E397">
        <f t="shared" si="16"/>
        <v>1.0561117897373117E-2</v>
      </c>
    </row>
    <row r="398" spans="1:5" x14ac:dyDescent="0.3">
      <c r="A398">
        <v>396</v>
      </c>
      <c r="B398">
        <v>208.26900000000001</v>
      </c>
      <c r="C398">
        <v>219.185</v>
      </c>
      <c r="D398">
        <f t="shared" si="15"/>
        <v>1.8021789611054996E-3</v>
      </c>
      <c r="E398">
        <f t="shared" si="16"/>
        <v>1.1549427578611265E-3</v>
      </c>
    </row>
    <row r="399" spans="1:5" x14ac:dyDescent="0.3">
      <c r="A399">
        <v>397</v>
      </c>
      <c r="B399">
        <v>210.89699999999999</v>
      </c>
      <c r="C399">
        <v>220.90799999999999</v>
      </c>
      <c r="D399">
        <f t="shared" si="15"/>
        <v>1.2539349252735173E-2</v>
      </c>
      <c r="E399">
        <f t="shared" si="16"/>
        <v>7.8302031769833715E-3</v>
      </c>
    </row>
    <row r="400" spans="1:5" x14ac:dyDescent="0.3">
      <c r="A400">
        <v>398</v>
      </c>
      <c r="B400">
        <v>206.828</v>
      </c>
      <c r="C400">
        <v>218.255</v>
      </c>
      <c r="D400">
        <f t="shared" si="15"/>
        <v>-1.9482332645121232E-2</v>
      </c>
      <c r="E400">
        <f t="shared" si="16"/>
        <v>-1.2082221287686913E-2</v>
      </c>
    </row>
    <row r="401" spans="1:5" x14ac:dyDescent="0.3">
      <c r="A401">
        <v>399</v>
      </c>
      <c r="B401">
        <v>205.048</v>
      </c>
      <c r="C401">
        <v>217.09200000000001</v>
      </c>
      <c r="D401">
        <f t="shared" si="15"/>
        <v>-8.6434319154727567E-3</v>
      </c>
      <c r="E401">
        <f t="shared" si="16"/>
        <v>-5.3428771376139109E-3</v>
      </c>
    </row>
    <row r="402" spans="1:5" x14ac:dyDescent="0.3">
      <c r="A402">
        <v>400</v>
      </c>
      <c r="B402">
        <v>201.24199999999999</v>
      </c>
      <c r="C402">
        <v>214.584</v>
      </c>
      <c r="D402">
        <f t="shared" si="15"/>
        <v>-1.8735934116131427E-2</v>
      </c>
      <c r="E402">
        <f t="shared" si="16"/>
        <v>-1.1619956725997761E-2</v>
      </c>
    </row>
  </sheetData>
  <phoneticPr fontId="18" type="noConversion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StockGen08191917-하락추세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Jeong Hyeon Park</dc:creator>
  <cp:lastModifiedBy>Jeong-Hyun Park</cp:lastModifiedBy>
  <dcterms:created xsi:type="dcterms:W3CDTF">2020-08-19T10:19:22Z</dcterms:created>
  <dcterms:modified xsi:type="dcterms:W3CDTF">2020-08-21T08:40:33Z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ab3fd61b-7e49-438c-966a-1ab11c302175</vt:lpwstr>
  </property>
</Properties>
</file>